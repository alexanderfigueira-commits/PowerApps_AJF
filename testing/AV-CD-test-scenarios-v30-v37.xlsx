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st scenarios" sheetId="2" state="visible" r:id="rId2"/>
    <sheet name="Summary" sheetId="3" state="visible" r:id="rId3"/>
    <sheet name="Known gaps" sheetId="4" state="visible" r:id="rId4"/>
  </sheets>
  <definedNames>
    <definedName name="_xlnm._FilterDatabase" localSheetId="1" hidden="1">'Test scenarios'!$A$1:$M$68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0126B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C8CDD6"/>
      </left>
      <right style="thin">
        <color rgb="00C8CDD6"/>
      </right>
      <top style="thin">
        <color rgb="00C8CDD6"/>
      </top>
      <bottom style="thin">
        <color rgb="00C8CD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4" fillId="2" borderId="1" pivotButton="0" quotePrefix="0" xfId="0"/>
    <xf numFmtId="0" fontId="3" fillId="0" borderId="1" pivotButton="0" quotePrefix="0" xfId="0"/>
    <xf numFmtId="165" fontId="3" fillId="0" borderId="1" pivotButton="0" quotePrefix="0" xfId="0"/>
    <xf numFmtId="0" fontId="5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AV Central Deposit – test scenarios (v30 to v37)</t>
        </is>
      </c>
    </row>
    <row r="2">
      <c r="A2" s="2" t="inlineStr">
        <is>
          <t>App file to test</t>
        </is>
      </c>
      <c r="B2" s="3" t="inlineStr">
        <is>
          <t>msapp-versions/AV-CD-v37-plaintext.msapp (v37 contains every change from v30 on).</t>
        </is>
      </c>
    </row>
    <row r="3" ht="48" customHeight="1">
      <c r="A3" s="2" t="inlineStr">
        <is>
          <t>Before you start</t>
        </is>
      </c>
      <c r="B3" s="3" t="inlineStr">
        <is>
          <t>1. Import v37 in Power Apps Studio.
2. Data → AV-CD-Requests → Refresh (needed for Manual_DG_Agency_Contact / Manual_Contractor_Contact).
3. Have two accounts: one REQUESTOR and one ADMINISTRATOR (AV-CD-RolesPermissionsList).</t>
        </is>
      </c>
    </row>
    <row r="4">
      <c r="A4" s="2" t="inlineStr">
        <is>
          <t>Which cells to fill</t>
        </is>
      </c>
      <c r="B4" s="3" t="inlineStr">
        <is>
          <t>On the "Test scenarios" sheet fill only the yellow columns: Status (drop-down), Tester, Date, Comments / defect.</t>
        </is>
      </c>
    </row>
    <row r="5">
      <c r="A5" s="2" t="inlineStr">
        <is>
          <t>Status values</t>
        </is>
      </c>
      <c r="B5" s="3" t="inlineStr">
        <is>
          <t>Not run · Pass · Fail · Blocked</t>
        </is>
      </c>
    </row>
    <row r="6" ht="48" customHeight="1">
      <c r="A6" s="2" t="inlineStr">
        <is>
          <t>Example</t>
        </is>
      </c>
      <c r="B6" s="3" t="inlineStr">
        <is>
          <t>Status: Fail | Tester: A. Figueira | Date: 23/09/2026 | Comments: "Draft saved" shown but DG not updated in SharePoint (screenshot in Teams).</t>
        </is>
      </c>
    </row>
    <row r="7">
      <c r="A7" s="2" t="inlineStr">
        <is>
          <t>Screen names</t>
        </is>
      </c>
      <c r="B7" s="3" t="inlineStr">
        <is>
          <t>The request screen is really named RequesDetailtScreen in the app.</t>
        </is>
      </c>
    </row>
    <row r="8">
      <c r="A8" s="2" t="inlineStr">
        <is>
          <t>Summary</t>
        </is>
      </c>
      <c r="B8" s="3" t="inlineStr">
        <is>
          <t>The "Summary" sheet counts results per version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22" customWidth="1" min="3" max="3"/>
    <col width="32" customWidth="1" min="4" max="4"/>
    <col width="15" customWidth="1" min="5" max="5"/>
    <col width="32" customWidth="1" min="6" max="6"/>
    <col width="45" customWidth="1" min="7" max="7"/>
    <col width="50" customWidth="1" min="8" max="8"/>
    <col width="9" customWidth="1" min="9" max="9"/>
    <col width="11" customWidth="1" min="10" max="10"/>
    <col width="14" customWidth="1" min="11" max="11"/>
    <col width="12" customWidth="1" min="12" max="12"/>
    <col width="40" customWidth="1" min="13" max="13"/>
  </cols>
  <sheetData>
    <row r="1">
      <c r="A1" s="4" t="inlineStr">
        <is>
          <t>ID</t>
        </is>
      </c>
      <c r="B1" s="4" t="inlineStr">
        <is>
          <t>Version</t>
        </is>
      </c>
      <c r="C1" s="4" t="inlineStr">
        <is>
          <t>Screen</t>
        </is>
      </c>
      <c r="D1" s="4" t="inlineStr">
        <is>
          <t>Feature / scenario</t>
        </is>
      </c>
      <c r="E1" s="4" t="inlineStr">
        <is>
          <t>Role</t>
        </is>
      </c>
      <c r="F1" s="4" t="inlineStr">
        <is>
          <t>Preconditions</t>
        </is>
      </c>
      <c r="G1" s="4" t="inlineStr">
        <is>
          <t>Steps</t>
        </is>
      </c>
      <c r="H1" s="4" t="inlineStr">
        <is>
          <t>Expected result</t>
        </is>
      </c>
      <c r="I1" s="4" t="inlineStr">
        <is>
          <t>Priority</t>
        </is>
      </c>
      <c r="J1" s="4" t="inlineStr">
        <is>
          <t>Status</t>
        </is>
      </c>
      <c r="K1" s="4" t="inlineStr">
        <is>
          <t>Tester</t>
        </is>
      </c>
      <c r="L1" s="4" t="inlineStr">
        <is>
          <t>Date</t>
        </is>
      </c>
      <c r="M1" s="4" t="inlineStr">
        <is>
          <t>Comments / defect</t>
        </is>
      </c>
    </row>
    <row r="2">
      <c r="A2" s="5" t="inlineStr">
        <is>
          <t>T001</t>
        </is>
      </c>
      <c r="B2" s="5" t="inlineStr">
        <is>
          <t>v30</t>
        </is>
      </c>
      <c r="C2" s="5" t="inlineStr">
        <is>
          <t>ReviewScreen</t>
        </is>
      </c>
      <c r="D2" s="5" t="inlineStr">
        <is>
          <t>Review queue shows every Processing request</t>
        </is>
      </c>
      <c r="E2" s="5" t="inlineStr">
        <is>
          <t>ADMINISTRATOR</t>
        </is>
      </c>
      <c r="F2" s="5" t="inlineStr">
        <is>
          <t>At least one request in Processing, including one created by this admin account.</t>
        </is>
      </c>
      <c r="G2" s="5" t="inlineStr">
        <is>
          <t>1. Open ReviewScreen from the top menu (👁 Review).
2. Look at the queue on the left.</t>
        </is>
      </c>
      <c r="H2" s="5" t="inlineStr">
        <is>
          <t>Every Processing request is listed, including your own. Pending requests are listed too.</t>
        </is>
      </c>
      <c r="I2" s="5" t="inlineStr">
        <is>
          <t>High</t>
        </is>
      </c>
      <c r="J2" s="6" t="inlineStr">
        <is>
          <t>Not run</t>
        </is>
      </c>
      <c r="K2" s="6" t="n"/>
      <c r="L2" s="7" t="n"/>
      <c r="M2" s="6" t="n"/>
    </row>
    <row r="3">
      <c r="A3" s="5" t="inlineStr">
        <is>
          <t>T002</t>
        </is>
      </c>
      <c r="B3" s="5" t="inlineStr">
        <is>
          <t>v30</t>
        </is>
      </c>
      <c r="C3" s="5" t="inlineStr">
        <is>
          <t>ReviewScreen</t>
        </is>
      </c>
      <c r="D3" s="5" t="inlineStr">
        <is>
          <t>Just-submitted request appears in the queue</t>
        </is>
      </c>
      <c r="E3" s="5" t="inlineStr">
        <is>
          <t>Both</t>
        </is>
      </c>
      <c r="F3" s="5" t="inlineStr">
        <is>
          <t>Requestor has a Draft request ready to submit.</t>
        </is>
      </c>
      <c r="G3" s="5" t="inlineStr">
        <is>
          <t>1. As requestor, submit the request.
2. As admin, open ReviewScreen straight away.</t>
        </is>
      </c>
      <c r="H3" s="5" t="inlineStr">
        <is>
          <t>The request appears in the queue as Processing with no manual refresh.</t>
        </is>
      </c>
      <c r="I3" s="5" t="inlineStr">
        <is>
          <t>High</t>
        </is>
      </c>
      <c r="J3" s="6" t="inlineStr">
        <is>
          <t>Not run</t>
        </is>
      </c>
      <c r="K3" s="6" t="n"/>
      <c r="L3" s="7" t="n"/>
      <c r="M3" s="6" t="n"/>
    </row>
    <row r="4">
      <c r="A4" s="5" t="inlineStr">
        <is>
          <t>T003</t>
        </is>
      </c>
      <c r="B4" s="5" t="inlineStr">
        <is>
          <t>v30/v31</t>
        </is>
      </c>
      <c r="C4" s="5" t="inlineStr">
        <is>
          <t>ReviewScreen</t>
        </is>
      </c>
      <c r="D4" s="5" t="inlineStr">
        <is>
          <t>No self-approval</t>
        </is>
      </c>
      <c r="E4" s="5" t="inlineStr">
        <is>
          <t>ADMINISTRATOR</t>
        </is>
      </c>
      <c r="F4" s="5" t="inlineStr">
        <is>
          <t>Admin opens a Processing request that the same admin account created.</t>
        </is>
      </c>
      <c r="G4" s="5" t="inlineStr">
        <is>
          <t>1. Select your own request in the queue.
2. Check Approve / Reject / Need info.</t>
        </is>
      </c>
      <c r="H4" s="5" t="inlineStr">
        <is>
          <t>The request opens, but the three action buttons are disabled.</t>
        </is>
      </c>
      <c r="I4" s="5" t="inlineStr">
        <is>
          <t>High</t>
        </is>
      </c>
      <c r="J4" s="6" t="inlineStr">
        <is>
          <t>Not run</t>
        </is>
      </c>
      <c r="K4" s="6" t="n"/>
      <c r="L4" s="7" t="n"/>
      <c r="M4" s="6" t="n"/>
    </row>
    <row r="5">
      <c r="A5" s="5" t="inlineStr">
        <is>
          <t>T004</t>
        </is>
      </c>
      <c r="B5" s="5" t="inlineStr">
        <is>
          <t>v31</t>
        </is>
      </c>
      <c r="C5" s="5" t="inlineStr">
        <is>
          <t>ReviewScreen</t>
        </is>
      </c>
      <c r="D5" s="5" t="inlineStr">
        <is>
          <t>Actions only on Processing</t>
        </is>
      </c>
      <c r="E5" s="5" t="inlineStr">
        <is>
          <t>ADMINISTRATOR</t>
        </is>
      </c>
      <c r="F5" s="5" t="inlineStr">
        <is>
          <t>A Pending request created by someone else.</t>
        </is>
      </c>
      <c r="G5" s="5" t="inlineStr">
        <is>
          <t>1. Select the Pending request.
2. Check Approve / Reject / Need info.</t>
        </is>
      </c>
      <c r="H5" s="5" t="inlineStr">
        <is>
          <t>All three buttons are disabled (they need Processing).</t>
        </is>
      </c>
      <c r="I5" s="5" t="inlineStr">
        <is>
          <t>High</t>
        </is>
      </c>
      <c r="J5" s="6" t="inlineStr">
        <is>
          <t>Not run</t>
        </is>
      </c>
      <c r="K5" s="6" t="n"/>
      <c r="L5" s="7" t="n"/>
      <c r="M5" s="6" t="n"/>
    </row>
    <row r="6">
      <c r="A6" s="5" t="inlineStr">
        <is>
          <t>T005</t>
        </is>
      </c>
      <c r="B6" s="5" t="inlineStr">
        <is>
          <t>v31</t>
        </is>
      </c>
      <c r="C6" s="5" t="inlineStr">
        <is>
          <t>ReviewScreen</t>
        </is>
      </c>
      <c r="D6" s="5" t="inlineStr">
        <is>
          <t>Approve / Reject / Need info still work</t>
        </is>
      </c>
      <c r="E6" s="5" t="inlineStr">
        <is>
          <t>ADMINISTRATOR</t>
        </is>
      </c>
      <c r="F6" s="5" t="inlineStr">
        <is>
          <t>A Processing request created by another user.</t>
        </is>
      </c>
      <c r="G6" s="5" t="inlineStr">
        <is>
          <t>1. Select it. 2. Write a reviewer comment. 3. Press Need info (then repeat with other requests for Reject and Approve).</t>
        </is>
      </c>
      <c r="H6" s="5" t="inlineStr">
        <is>
          <t>The status changes to Pending / Rejected / Approved and the request leaves or updates in the queue.</t>
        </is>
      </c>
      <c r="I6" s="5" t="inlineStr">
        <is>
          <t>High</t>
        </is>
      </c>
      <c r="J6" s="6" t="inlineStr">
        <is>
          <t>Not run</t>
        </is>
      </c>
      <c r="K6" s="6" t="n"/>
      <c r="L6" s="7" t="n"/>
      <c r="M6" s="6" t="n"/>
    </row>
    <row r="7">
      <c r="A7" s="5" t="inlineStr">
        <is>
          <t>T006</t>
        </is>
      </c>
      <c r="B7" s="5" t="inlineStr">
        <is>
          <t>v31</t>
        </is>
      </c>
      <c r="C7" s="5" t="inlineStr">
        <is>
          <t>RequestManagementScreen</t>
        </is>
      </c>
      <c r="D7" s="5" t="inlineStr">
        <is>
          <t>1.1 Media count per row</t>
        </is>
      </c>
      <c r="E7" s="5" t="inlineStr">
        <is>
          <t>Both</t>
        </is>
      </c>
      <c r="F7" s="5" t="inlineStr">
        <is>
          <t>Requests with 0, 1 and several media items.</t>
        </is>
      </c>
      <c r="G7" s="5" t="inlineStr">
        <is>
          <t>1. Open RequestManagementScreen.
2. Compare the MEDIA ITEMS (Nº) column with the media items of each request.</t>
        </is>
      </c>
      <c r="H7" s="5" t="inlineStr">
        <is>
          <t>The number equals the media items of that request (0 when none). No delegation warning in Studio.</t>
        </is>
      </c>
      <c r="I7" s="5" t="inlineStr">
        <is>
          <t>Medium</t>
        </is>
      </c>
      <c r="J7" s="6" t="inlineStr">
        <is>
          <t>Not run</t>
        </is>
      </c>
      <c r="K7" s="6" t="n"/>
      <c r="L7" s="7" t="n"/>
      <c r="M7" s="6" t="n"/>
    </row>
    <row r="8">
      <c r="A8" s="5" t="inlineStr">
        <is>
          <t>T007</t>
        </is>
      </c>
      <c r="B8" s="5" t="inlineStr">
        <is>
          <t>v31</t>
        </is>
      </c>
      <c r="C8" s="5" t="inlineStr">
        <is>
          <t>RequestManagementScreen</t>
        </is>
      </c>
      <c r="D8" s="5" t="inlineStr">
        <is>
          <t>1.2 Per-row production type icon</t>
        </is>
      </c>
      <c r="E8" s="5" t="inlineStr">
        <is>
          <t>Both</t>
        </is>
      </c>
      <c r="F8" s="5" t="inlineStr">
        <is>
          <t>Requests with Photo, Video and Podcast media.</t>
        </is>
      </c>
      <c r="G8" s="5" t="inlineStr">
        <is>
          <t>1. Select "All media" in the type filter.
2. Look at the request number column.</t>
        </is>
      </c>
      <c r="H8" s="5" t="inlineStr">
        <is>
          <t>Each row shows its own icon (📷 / 🎬 / 🎙️). A request without media shows the number only.</t>
        </is>
      </c>
      <c r="I8" s="5" t="inlineStr">
        <is>
          <t>Medium</t>
        </is>
      </c>
      <c r="J8" s="6" t="inlineStr">
        <is>
          <t>Not run</t>
        </is>
      </c>
      <c r="K8" s="6" t="n"/>
      <c r="L8" s="7" t="n"/>
      <c r="M8" s="6" t="n"/>
    </row>
    <row r="9">
      <c r="A9" s="5" t="inlineStr">
        <is>
          <t>T008</t>
        </is>
      </c>
      <c r="B9" s="5" t="inlineStr">
        <is>
          <t>v31</t>
        </is>
      </c>
      <c r="C9" s="5" t="inlineStr">
        <is>
          <t>RequestManagementScreen</t>
        </is>
      </c>
      <c r="D9" s="5" t="inlineStr">
        <is>
          <t>1.2 Icon with a type filter</t>
        </is>
      </c>
      <c r="E9" s="5" t="inlineStr">
        <is>
          <t>Both</t>
        </is>
      </c>
      <c r="F9" s="5" t="inlineStr">
        <is>
          <t>—</t>
        </is>
      </c>
      <c r="G9" s="5" t="inlineStr">
        <is>
          <t>1. Select the Video filter.</t>
        </is>
      </c>
      <c r="H9" s="5" t="inlineStr">
        <is>
          <t>Rows show the 🎬 icon, as before.</t>
        </is>
      </c>
      <c r="I9" s="5" t="inlineStr">
        <is>
          <t>Low</t>
        </is>
      </c>
      <c r="J9" s="6" t="inlineStr">
        <is>
          <t>Not run</t>
        </is>
      </c>
      <c r="K9" s="6" t="n"/>
      <c r="L9" s="7" t="n"/>
      <c r="M9" s="6" t="n"/>
    </row>
    <row r="10">
      <c r="A10" s="5" t="inlineStr">
        <is>
          <t>T009</t>
        </is>
      </c>
      <c r="B10" s="5" t="inlineStr">
        <is>
          <t>v31</t>
        </is>
      </c>
      <c r="C10" s="5" t="inlineStr">
        <is>
          <t>RequestManagementScreen</t>
        </is>
      </c>
      <c r="D10" s="5" t="inlineStr">
        <is>
          <t>1.3 Filters kept after navigating away</t>
        </is>
      </c>
      <c r="E10" s="5" t="inlineStr">
        <is>
          <t>Both</t>
        </is>
      </c>
      <c r="F10" s="5" t="inlineStr">
        <is>
          <t>—</t>
        </is>
      </c>
      <c r="G10" s="5" t="inlineStr">
        <is>
          <t>1. Set status, DG, title and a date range.
2. Open a request, then come back.</t>
        </is>
      </c>
      <c r="H10" s="5" t="inlineStr">
        <is>
          <t>All filters are still set and the gallery shows the same rows.</t>
        </is>
      </c>
      <c r="I10" s="5" t="inlineStr">
        <is>
          <t>High</t>
        </is>
      </c>
      <c r="J10" s="6" t="inlineStr">
        <is>
          <t>Not run</t>
        </is>
      </c>
      <c r="K10" s="6" t="n"/>
      <c r="L10" s="7" t="n"/>
      <c r="M10" s="6" t="n"/>
    </row>
    <row r="11">
      <c r="A11" s="5" t="inlineStr">
        <is>
          <t>T010</t>
        </is>
      </c>
      <c r="B11" s="5" t="inlineStr">
        <is>
          <t>v31</t>
        </is>
      </c>
      <c r="C11" s="5" t="inlineStr">
        <is>
          <t>RequestManagementScreen</t>
        </is>
      </c>
      <c r="D11" s="5" t="inlineStr">
        <is>
          <t>1.3 Default date range on first load</t>
        </is>
      </c>
      <c r="E11" s="5" t="inlineStr">
        <is>
          <t>Both</t>
        </is>
      </c>
      <c r="F11" s="5" t="inlineStr">
        <is>
          <t>Fresh app start.</t>
        </is>
      </c>
      <c r="G11" s="5" t="inlineStr">
        <is>
          <t>1. Open the app and go to RequestManagementScreen.</t>
        </is>
      </c>
      <c r="H11" s="5" t="inlineStr">
        <is>
          <t>The start date is today minus 31 days and the end date is today (first visit only).</t>
        </is>
      </c>
      <c r="I11" s="5" t="inlineStr">
        <is>
          <t>Low</t>
        </is>
      </c>
      <c r="J11" s="6" t="inlineStr">
        <is>
          <t>Not run</t>
        </is>
      </c>
      <c r="K11" s="6" t="n"/>
      <c r="L11" s="7" t="n"/>
      <c r="M11" s="6" t="n"/>
    </row>
    <row r="12">
      <c r="A12" s="5" t="inlineStr">
        <is>
          <t>T011</t>
        </is>
      </c>
      <c r="B12" s="5" t="inlineStr">
        <is>
          <t>v31</t>
        </is>
      </c>
      <c r="C12" s="5" t="inlineStr">
        <is>
          <t>RequestManagementScreen</t>
        </is>
      </c>
      <c r="D12" s="5" t="inlineStr">
        <is>
          <t>1.3 Reload button</t>
        </is>
      </c>
      <c r="E12" s="5" t="inlineStr">
        <is>
          <t>Both</t>
        </is>
      </c>
      <c r="F12" s="5" t="inlineStr">
        <is>
          <t>Change a request directly in SharePoint (e.g. its title).</t>
        </is>
      </c>
      <c r="G12" s="5" t="inlineStr">
        <is>
          <t>1. Press ⟳ Reload.</t>
        </is>
      </c>
      <c r="H12" s="5" t="inlineStr">
        <is>
          <t>"Requests reloaded from SharePoint." appears and the gallery shows the change.</t>
        </is>
      </c>
      <c r="I12" s="5" t="inlineStr">
        <is>
          <t>Medium</t>
        </is>
      </c>
      <c r="J12" s="6" t="inlineStr">
        <is>
          <t>Not run</t>
        </is>
      </c>
      <c r="K12" s="6" t="n"/>
      <c r="L12" s="7" t="n"/>
      <c r="M12" s="6" t="n"/>
    </row>
    <row r="13">
      <c r="A13" s="5" t="inlineStr">
        <is>
          <t>T012</t>
        </is>
      </c>
      <c r="B13" s="5" t="inlineStr">
        <is>
          <t>v31</t>
        </is>
      </c>
      <c r="C13" s="5" t="inlineStr">
        <is>
          <t>RequestManagementScreen</t>
        </is>
      </c>
      <c r="D13" s="5" t="inlineStr">
        <is>
          <t>1.3 Dashboard status jump</t>
        </is>
      </c>
      <c r="E13" s="5" t="inlineStr">
        <is>
          <t>Both</t>
        </is>
      </c>
      <c r="F13" s="5" t="inlineStr">
        <is>
          <t>—</t>
        </is>
      </c>
      <c r="G13" s="5" t="inlineStr">
        <is>
          <t>1. On the Dashboard, click a status card (e.g. Pending).</t>
        </is>
      </c>
      <c r="H13" s="5" t="inlineStr">
        <is>
          <t>RequestManagementScreen opens filtered on that status.</t>
        </is>
      </c>
      <c r="I13" s="5" t="inlineStr">
        <is>
          <t>Medium</t>
        </is>
      </c>
      <c r="J13" s="6" t="inlineStr">
        <is>
          <t>Not run</t>
        </is>
      </c>
      <c r="K13" s="6" t="n"/>
      <c r="L13" s="7" t="n"/>
      <c r="M13" s="6" t="n"/>
    </row>
    <row r="14">
      <c r="A14" s="5" t="inlineStr">
        <is>
          <t>T013</t>
        </is>
      </c>
      <c r="B14" s="5" t="inlineStr">
        <is>
          <t>v31</t>
        </is>
      </c>
      <c r="C14" s="5" t="inlineStr">
        <is>
          <t>RequesDetailtScreen</t>
        </is>
      </c>
      <c r="D14" s="5" t="inlineStr">
        <is>
          <t>2.1 Contact Extra popup size and position</t>
        </is>
      </c>
      <c r="E14" s="5" t="inlineStr">
        <is>
          <t>REQUESTOR</t>
        </is>
      </c>
      <c r="F14" s="5" t="inlineStr">
        <is>
          <t>Open a Draft request.</t>
        </is>
      </c>
      <c r="G14" s="5" t="inlineStr">
        <is>
          <t>1. Press "+" next to a contact box.</t>
        </is>
      </c>
      <c r="H14" s="5" t="inlineStr">
        <is>
          <t>The popup covers about 3/4 of the screen, is centred, and the background is dimmed.</t>
        </is>
      </c>
      <c r="I14" s="5" t="inlineStr">
        <is>
          <t>Medium</t>
        </is>
      </c>
      <c r="J14" s="6" t="inlineStr">
        <is>
          <t>Not run</t>
        </is>
      </c>
      <c r="K14" s="6" t="n"/>
      <c r="L14" s="7" t="n"/>
      <c r="M14" s="6" t="n"/>
    </row>
    <row r="15">
      <c r="A15" s="5" t="inlineStr">
        <is>
          <t>T014</t>
        </is>
      </c>
      <c r="B15" s="5" t="inlineStr">
        <is>
          <t>v31</t>
        </is>
      </c>
      <c r="C15" s="5" t="inlineStr">
        <is>
          <t>RequesDetailtScreen</t>
        </is>
      </c>
      <c r="D15" s="5" t="inlineStr">
        <is>
          <t>2.1 Saved contacts rows</t>
        </is>
      </c>
      <c r="E15" s="5" t="inlineStr">
        <is>
          <t>REQUESTOR</t>
        </is>
      </c>
      <c r="F15" s="5" t="inlineStr">
        <is>
          <t>Open a Draft request with no manual contacts.</t>
        </is>
      </c>
      <c r="G15" s="5" t="inlineStr">
        <is>
          <t>1. Open the popup.
2. Look at the two "Saved contacts" rows.</t>
        </is>
      </c>
      <c r="H15" s="5" t="inlineStr">
        <is>
          <t>Contractor and DG/Agency rows show "Not defined" in grey.</t>
        </is>
      </c>
      <c r="I15" s="5" t="inlineStr">
        <is>
          <t>Medium</t>
        </is>
      </c>
      <c r="J15" s="6" t="inlineStr">
        <is>
          <t>Not run</t>
        </is>
      </c>
      <c r="K15" s="6" t="n"/>
      <c r="L15" s="7" t="n"/>
      <c r="M15" s="6" t="n"/>
    </row>
    <row r="16">
      <c r="A16" s="5" t="inlineStr">
        <is>
          <t>T015</t>
        </is>
      </c>
      <c r="B16" s="5" t="inlineStr">
        <is>
          <t>v31</t>
        </is>
      </c>
      <c r="C16" s="5" t="inlineStr">
        <is>
          <t>RequesDetailtScreen</t>
        </is>
      </c>
      <c r="D16" s="5" t="inlineStr">
        <is>
          <t>2.2 Manual email appears in the combo box</t>
        </is>
      </c>
      <c r="E16" s="5" t="inlineStr">
        <is>
          <t>REQUESTOR</t>
        </is>
      </c>
      <c r="F16" s="5" t="inlineStr">
        <is>
          <t>Draft request.</t>
        </is>
      </c>
      <c r="G16" s="5" t="inlineStr">
        <is>
          <t>1. Press "+" next to DG/Agency contact.
2. Enter an external email and save.</t>
        </is>
      </c>
      <c r="H16" s="5" t="inlineStr">
        <is>
          <t>RS_Owner shows the email as selected; the saved row in the popup shows it.</t>
        </is>
      </c>
      <c r="I16" s="5" t="inlineStr">
        <is>
          <t>High</t>
        </is>
      </c>
      <c r="J16" s="6" t="inlineStr">
        <is>
          <t>Not run</t>
        </is>
      </c>
      <c r="K16" s="6" t="n"/>
      <c r="L16" s="7" t="n"/>
      <c r="M16" s="6" t="n"/>
    </row>
    <row r="17">
      <c r="A17" s="5" t="inlineStr">
        <is>
          <t>T016</t>
        </is>
      </c>
      <c r="B17" s="5" t="inlineStr">
        <is>
          <t>v32</t>
        </is>
      </c>
      <c r="C17" s="5" t="inlineStr">
        <is>
          <t>ChildLegalScreen</t>
        </is>
      </c>
      <c r="D17" s="5" t="inlineStr">
        <is>
          <t>Layout: form beside the gallery</t>
        </is>
      </c>
      <c r="E17" s="5" t="inlineStr">
        <is>
          <t>REQUESTOR</t>
        </is>
      </c>
      <c r="F17" s="5" t="inlineStr">
        <is>
          <t>Open a media item and go to Legal &amp; Docs.</t>
        </is>
      </c>
      <c r="G17" s="5" t="inlineStr">
        <is>
          <t>1. Look at the screen.</t>
        </is>
      </c>
      <c r="H17" s="5" t="inlineStr">
        <is>
          <t>Legal fields on the left, "Legal annexes &amp; supporting documents" panel on the right; nothing overlaps; the old annex box is gone.</t>
        </is>
      </c>
      <c r="I17" s="5" t="inlineStr">
        <is>
          <t>High</t>
        </is>
      </c>
      <c r="J17" s="6" t="inlineStr">
        <is>
          <t>Not run</t>
        </is>
      </c>
      <c r="K17" s="6" t="n"/>
      <c r="L17" s="7" t="n"/>
      <c r="M17" s="6" t="n"/>
    </row>
    <row r="18">
      <c r="A18" s="5" t="inlineStr">
        <is>
          <t>T017</t>
        </is>
      </c>
      <c r="B18" s="5" t="inlineStr">
        <is>
          <t>v32</t>
        </is>
      </c>
      <c r="C18" s="5" t="inlineStr">
        <is>
          <t>ChildLegalScreen</t>
        </is>
      </c>
      <c r="D18" s="5" t="inlineStr">
        <is>
          <t>Compact layout follows what is visible</t>
        </is>
      </c>
      <c r="E18" s="5" t="inlineStr">
        <is>
          <t>REQUESTOR</t>
        </is>
      </c>
      <c r="F18" s="5" t="inlineStr">
        <is>
          <t>Photo media item.</t>
        </is>
      </c>
      <c r="G18" s="5" t="inlineStr">
        <is>
          <t>1. Toggle Case 1, "Recognisable persons" and (for Video) music / pre-existing / subtitles checkboxes.</t>
        </is>
      </c>
      <c r="H18" s="5" t="inlineStr">
        <is>
          <t>Rows move up/down with no empty gaps; the page only scrolls when a lot is visible.</t>
        </is>
      </c>
      <c r="I18" s="5" t="inlineStr">
        <is>
          <t>Medium</t>
        </is>
      </c>
      <c r="J18" s="6" t="inlineStr">
        <is>
          <t>Not run</t>
        </is>
      </c>
      <c r="K18" s="6" t="n"/>
      <c r="L18" s="7" t="n"/>
      <c r="M18" s="6" t="n"/>
    </row>
    <row r="19">
      <c r="A19" s="5" t="inlineStr">
        <is>
          <t>T018</t>
        </is>
      </c>
      <c r="B19" s="5" t="inlineStr">
        <is>
          <t>v32</t>
        </is>
      </c>
      <c r="C19" s="5" t="inlineStr">
        <is>
          <t>ChildLegalScreen</t>
        </is>
      </c>
      <c r="D19" s="5" t="inlineStr">
        <is>
          <t>Panel header names the media item</t>
        </is>
      </c>
      <c r="E19" s="5" t="inlineStr">
        <is>
          <t>REQUESTOR</t>
        </is>
      </c>
      <c r="F19" s="5" t="inlineStr">
        <is>
          <t>Saved media item.</t>
        </is>
      </c>
      <c r="G19" s="5" t="inlineStr">
        <is>
          <t>1. Look at the panel header and the ID card.</t>
        </is>
      </c>
      <c r="H19" s="5" t="inlineStr">
        <is>
          <t>Header shows "Media item: &lt;title&gt; · &lt;media number&gt;"; ID card shows the SharePoint ID.</t>
        </is>
      </c>
      <c r="I19" s="5" t="inlineStr">
        <is>
          <t>Medium</t>
        </is>
      </c>
      <c r="J19" s="6" t="inlineStr">
        <is>
          <t>Not run</t>
        </is>
      </c>
      <c r="K19" s="6" t="n"/>
      <c r="L19" s="7" t="n"/>
      <c r="M19" s="6" t="n"/>
    </row>
    <row r="20">
      <c r="A20" s="5" t="inlineStr">
        <is>
          <t>T019</t>
        </is>
      </c>
      <c r="B20" s="5" t="inlineStr">
        <is>
          <t>v32</t>
        </is>
      </c>
      <c r="C20" s="5" t="inlineStr">
        <is>
          <t>ChildLegalScreen</t>
        </is>
      </c>
      <c r="D20" s="5" t="inlineStr">
        <is>
          <t>Form disabled for an unsaved media item</t>
        </is>
      </c>
      <c r="E20" s="5" t="inlineStr">
        <is>
          <t>REQUESTOR</t>
        </is>
      </c>
      <c r="F20" s="5" t="inlineStr">
        <is>
          <t>A media item without a SharePoint ID (only possible if creating the item failed).</t>
        </is>
      </c>
      <c r="G20" s="5" t="inlineStr">
        <is>
          <t>1. Open the Legal &amp; Docs tab.</t>
        </is>
      </c>
      <c r="H20" s="5" t="inlineStr">
        <is>
          <t>"Save the media item first to add attachments" is shown and the attachments box is disabled.</t>
        </is>
      </c>
      <c r="I20" s="5" t="inlineStr">
        <is>
          <t>Low</t>
        </is>
      </c>
      <c r="J20" s="6" t="inlineStr">
        <is>
          <t>Not run</t>
        </is>
      </c>
      <c r="K20" s="6" t="n"/>
      <c r="L20" s="7" t="n"/>
      <c r="M20" s="6" t="n"/>
    </row>
    <row r="21">
      <c r="A21" s="5" t="inlineStr">
        <is>
          <t>T020</t>
        </is>
      </c>
      <c r="B21" s="5" t="inlineStr">
        <is>
          <t>v32</t>
        </is>
      </c>
      <c r="C21" s="5" t="inlineStr">
        <is>
          <t>ChildLegalScreen → ChildValidScreen</t>
        </is>
      </c>
      <c r="D21" s="5" t="inlineStr">
        <is>
          <t>Attachments are saved with Save Media</t>
        </is>
      </c>
      <c r="E21" s="5" t="inlineStr">
        <is>
          <t>REQUESTOR</t>
        </is>
      </c>
      <c r="F21" s="5" t="inlineStr">
        <is>
          <t>Saved media item.</t>
        </is>
      </c>
      <c r="G21" s="5" t="inlineStr">
        <is>
          <t>1. Attach 2 files in the panel.
2. Go to Validations and press Save Media.</t>
        </is>
      </c>
      <c r="H21" s="5" t="inlineStr">
        <is>
          <t>"Media and attachments saved to SharePoint." appears; both files are attachments of the item in AV-CD-MediaItems.</t>
        </is>
      </c>
      <c r="I21" s="5" t="inlineStr">
        <is>
          <t>High</t>
        </is>
      </c>
      <c r="J21" s="6" t="inlineStr">
        <is>
          <t>Not run</t>
        </is>
      </c>
      <c r="K21" s="6" t="n"/>
      <c r="L21" s="7" t="n"/>
      <c r="M21" s="6" t="n"/>
    </row>
    <row r="22">
      <c r="A22" s="5" t="inlineStr">
        <is>
          <t>T021</t>
        </is>
      </c>
      <c r="B22" s="5" t="inlineStr">
        <is>
          <t>v32</t>
        </is>
      </c>
      <c r="C22" s="5" t="inlineStr">
        <is>
          <t>ChildLegalScreen</t>
        </is>
      </c>
      <c r="D22" s="5" t="inlineStr">
        <is>
          <t>Remove an attachment</t>
        </is>
      </c>
      <c r="E22" s="5" t="inlineStr">
        <is>
          <t>REQUESTOR</t>
        </is>
      </c>
      <c r="F22" s="5" t="inlineStr">
        <is>
          <t>Media item with attachments.</t>
        </is>
      </c>
      <c r="G22" s="5" t="inlineStr">
        <is>
          <t>1. Remove one file in the panel.
2. Save Media.</t>
        </is>
      </c>
      <c r="H22" s="5" t="inlineStr">
        <is>
          <t>The file is no longer attached in SharePoint.</t>
        </is>
      </c>
      <c r="I22" s="5" t="inlineStr">
        <is>
          <t>High</t>
        </is>
      </c>
      <c r="J22" s="6" t="inlineStr">
        <is>
          <t>Not run</t>
        </is>
      </c>
      <c r="K22" s="6" t="n"/>
      <c r="L22" s="7" t="n"/>
      <c r="M22" s="6" t="n"/>
    </row>
    <row r="23">
      <c r="A23" s="5" t="inlineStr">
        <is>
          <t>T022</t>
        </is>
      </c>
      <c r="B23" s="5" t="inlineStr">
        <is>
          <t>v32</t>
        </is>
      </c>
      <c r="C23" s="5" t="inlineStr">
        <is>
          <t>ChildValidScreen</t>
        </is>
      </c>
      <c r="D23" s="5" t="inlineStr">
        <is>
          <t>Attachment save failure</t>
        </is>
      </c>
      <c r="E23" s="5" t="inlineStr">
        <is>
          <t>REQUESTOR</t>
        </is>
      </c>
      <c r="F23" s="5" t="inlineStr">
        <is>
          <t>Saved media item with a staged file.</t>
        </is>
      </c>
      <c r="G23" s="5" t="inlineStr">
        <is>
          <t>1. Go offline (or remove your edit permission).
2. Save Media.</t>
        </is>
      </c>
      <c r="H23" s="5" t="inlineStr">
        <is>
          <t>Error "The media details were saved, but the attachments were not: …"; you stay on Validations; files are still staged.</t>
        </is>
      </c>
      <c r="I23" s="5" t="inlineStr">
        <is>
          <t>Medium</t>
        </is>
      </c>
      <c r="J23" s="6" t="inlineStr">
        <is>
          <t>Not run</t>
        </is>
      </c>
      <c r="K23" s="6" t="n"/>
      <c r="L23" s="7" t="n"/>
      <c r="M23" s="6" t="n"/>
    </row>
    <row r="24">
      <c r="A24" s="5" t="inlineStr">
        <is>
          <t>T023</t>
        </is>
      </c>
      <c r="B24" s="5" t="inlineStr">
        <is>
          <t>v32</t>
        </is>
      </c>
      <c r="C24" s="5" t="inlineStr">
        <is>
          <t>ChildLegalScreen / ChildValidScreen</t>
        </is>
      </c>
      <c r="D24" s="5" t="inlineStr">
        <is>
          <t>VTT required when subtitles are provided</t>
        </is>
      </c>
      <c r="E24" s="5" t="inlineStr">
        <is>
          <t>REQUESTOR</t>
        </is>
      </c>
      <c r="F24" s="5" t="inlineStr">
        <is>
          <t>Video media item.</t>
        </is>
      </c>
      <c r="G24" s="5" t="inlineStr">
        <is>
          <t>1. Tick "Subtitles are provided".
2. Do not attach a .vtt file; go to Validations.
3. Attach a .vtt file in the panel; check again.</t>
        </is>
      </c>
      <c r="H24" s="5" t="inlineStr">
        <is>
          <t>Step 2: VTT check fails and "Still to complete" mentions it. Step 3: the check passes and the .vtt appears under the VTT label.</t>
        </is>
      </c>
      <c r="I24" s="5" t="inlineStr">
        <is>
          <t>High</t>
        </is>
      </c>
      <c r="J24" s="6" t="inlineStr">
        <is>
          <t>Not run</t>
        </is>
      </c>
      <c r="K24" s="6" t="n"/>
      <c r="L24" s="7" t="n"/>
      <c r="M24" s="6" t="n"/>
    </row>
    <row r="25">
      <c r="A25" s="5" t="inlineStr">
        <is>
          <t>T024</t>
        </is>
      </c>
      <c r="B25" s="5" t="inlineStr">
        <is>
          <t>v32</t>
        </is>
      </c>
      <c r="C25" s="5" t="inlineStr">
        <is>
          <t>ChildValidScreen</t>
        </is>
      </c>
      <c r="D25" s="5" t="inlineStr">
        <is>
          <t>SRT files are rejected</t>
        </is>
      </c>
      <c r="E25" s="5" t="inlineStr">
        <is>
          <t>REQUESTOR</t>
        </is>
      </c>
      <c r="F25" s="5" t="inlineStr">
        <is>
          <t>Video media item.</t>
        </is>
      </c>
      <c r="G25" s="5" t="inlineStr">
        <is>
          <t>1. Attach a .srt file in the panel.
2. Open Validations.</t>
        </is>
      </c>
      <c r="H25" s="5" t="inlineStr">
        <is>
          <t>The "No SRT files attached" check fails.</t>
        </is>
      </c>
      <c r="I25" s="5" t="inlineStr">
        <is>
          <t>Medium</t>
        </is>
      </c>
      <c r="J25" s="6" t="inlineStr">
        <is>
          <t>Not run</t>
        </is>
      </c>
      <c r="K25" s="6" t="n"/>
      <c r="L25" s="7" t="n"/>
      <c r="M25" s="6" t="n"/>
    </row>
    <row r="26">
      <c r="A26" s="5" t="inlineStr">
        <is>
          <t>T025</t>
        </is>
      </c>
      <c r="B26" s="5" t="inlineStr">
        <is>
          <t>v32</t>
        </is>
      </c>
      <c r="C26" s="5" t="inlineStr">
        <is>
          <t>ChildLegalScreen</t>
        </is>
      </c>
      <c r="D26" s="5" t="inlineStr">
        <is>
          <t>Processing request is view-only for requestor</t>
        </is>
      </c>
      <c r="E26" s="5" t="inlineStr">
        <is>
          <t>REQUESTOR</t>
        </is>
      </c>
      <c r="F26" s="5" t="inlineStr">
        <is>
          <t>Request in Processing, opened by its requestor.</t>
        </is>
      </c>
      <c r="G26" s="5" t="inlineStr">
        <is>
          <t>1. Open a media item and the Legal tab.</t>
        </is>
      </c>
      <c r="H26" s="5" t="inlineStr">
        <is>
          <t>Attachments can be opened but not added or removed; Save Media is disabled.</t>
        </is>
      </c>
      <c r="I26" s="5" t="inlineStr">
        <is>
          <t>High</t>
        </is>
      </c>
      <c r="J26" s="6" t="inlineStr">
        <is>
          <t>Not run</t>
        </is>
      </c>
      <c r="K26" s="6" t="n"/>
      <c r="L26" s="7" t="n"/>
      <c r="M26" s="6" t="n"/>
    </row>
    <row r="27">
      <c r="A27" s="5" t="inlineStr">
        <is>
          <t>T026</t>
        </is>
      </c>
      <c r="B27" s="5" t="inlineStr">
        <is>
          <t>v32</t>
        </is>
      </c>
      <c r="C27" s="5" t="inlineStr">
        <is>
          <t>ChildLegalScreen</t>
        </is>
      </c>
      <c r="D27" s="5" t="inlineStr">
        <is>
          <t>Admin can still edit on Processing</t>
        </is>
      </c>
      <c r="E27" s="5" t="inlineStr">
        <is>
          <t>ADMINISTRATOR</t>
        </is>
      </c>
      <c r="F27" s="5" t="inlineStr">
        <is>
          <t>Request in Processing.</t>
        </is>
      </c>
      <c r="G27" s="5" t="inlineStr">
        <is>
          <t>1. Open a media item and the Legal tab.</t>
        </is>
      </c>
      <c r="H27" s="5" t="inlineStr">
        <is>
          <t>Attachments can be added/removed; Save Media works.</t>
        </is>
      </c>
      <c r="I27" s="5" t="inlineStr">
        <is>
          <t>Medium</t>
        </is>
      </c>
      <c r="J27" s="6" t="inlineStr">
        <is>
          <t>Not run</t>
        </is>
      </c>
      <c r="K27" s="6" t="n"/>
      <c r="L27" s="7" t="n"/>
      <c r="M27" s="6" t="n"/>
    </row>
    <row r="28">
      <c r="A28" s="5" t="inlineStr">
        <is>
          <t>T027</t>
        </is>
      </c>
      <c r="B28" s="5" t="inlineStr">
        <is>
          <t>v33</t>
        </is>
      </c>
      <c r="C28" s="5" t="inlineStr">
        <is>
          <t>RequesDetailtScreen</t>
        </is>
      </c>
      <c r="D28" s="5" t="inlineStr">
        <is>
          <t>Type picker opens on New request</t>
        </is>
      </c>
      <c r="E28" s="5" t="inlineStr">
        <is>
          <t>REQUESTOR</t>
        </is>
      </c>
      <c r="F28" s="5" t="inlineStr">
        <is>
          <t>—</t>
        </is>
      </c>
      <c r="G28" s="5" t="inlineStr">
        <is>
          <t>1. On RequestManagementScreen press ➕ New request.</t>
        </is>
      </c>
      <c r="H28" s="5" t="inlineStr">
        <is>
          <t>The "Choose production type" panel opens.</t>
        </is>
      </c>
      <c r="I28" s="5" t="inlineStr">
        <is>
          <t>High</t>
        </is>
      </c>
      <c r="J28" s="6" t="inlineStr">
        <is>
          <t>Not run</t>
        </is>
      </c>
      <c r="K28" s="6" t="n"/>
      <c r="L28" s="7" t="n"/>
      <c r="M28" s="6" t="n"/>
    </row>
    <row r="29">
      <c r="A29" s="5" t="inlineStr">
        <is>
          <t>T028</t>
        </is>
      </c>
      <c r="B29" s="5" t="inlineStr">
        <is>
          <t>v33</t>
        </is>
      </c>
      <c r="C29" s="5" t="inlineStr">
        <is>
          <t>RequesDetailtScreen</t>
        </is>
      </c>
      <c r="D29" s="5" t="inlineStr">
        <is>
          <t>Picking a type closes the picker</t>
        </is>
      </c>
      <c r="E29" s="5" t="inlineStr">
        <is>
          <t>REQUESTOR</t>
        </is>
      </c>
      <c r="F29" s="5" t="inlineStr">
        <is>
          <t>Picker open.</t>
        </is>
      </c>
      <c r="G29" s="5" t="inlineStr">
        <is>
          <t>1. Click Photo (or Video / Podcast).</t>
        </is>
      </c>
      <c r="H29" s="5" t="inlineStr">
        <is>
          <t>The panel closes and the type icon shows the chosen type.</t>
        </is>
      </c>
      <c r="I29" s="5" t="inlineStr">
        <is>
          <t>High</t>
        </is>
      </c>
      <c r="J29" s="6" t="inlineStr">
        <is>
          <t>Not run</t>
        </is>
      </c>
      <c r="K29" s="6" t="n"/>
      <c r="L29" s="7" t="n"/>
      <c r="M29" s="6" t="n"/>
    </row>
    <row r="30">
      <c r="A30" s="5" t="inlineStr">
        <is>
          <t>T029</t>
        </is>
      </c>
      <c r="B30" s="5" t="inlineStr">
        <is>
          <t>v33</t>
        </is>
      </c>
      <c r="C30" s="5" t="inlineStr">
        <is>
          <t>RequesDetailtScreen</t>
        </is>
      </c>
      <c r="D30" s="5" t="inlineStr">
        <is>
          <t>Close and overlay close the picker</t>
        </is>
      </c>
      <c r="E30" s="5" t="inlineStr">
        <is>
          <t>REQUESTOR</t>
        </is>
      </c>
      <c r="F30" s="5" t="inlineStr">
        <is>
          <t>Picker open.</t>
        </is>
      </c>
      <c r="G30" s="5" t="inlineStr">
        <is>
          <t>1. Press ✕. 2. Reopen with the type button and click outside the panel.</t>
        </is>
      </c>
      <c r="H30" s="5" t="inlineStr">
        <is>
          <t>The panel closes both times and you stay on the screen.</t>
        </is>
      </c>
      <c r="I30" s="5" t="inlineStr">
        <is>
          <t>Medium</t>
        </is>
      </c>
      <c r="J30" s="6" t="inlineStr">
        <is>
          <t>Not run</t>
        </is>
      </c>
      <c r="K30" s="6" t="n"/>
      <c r="L30" s="7" t="n"/>
      <c r="M30" s="6" t="n"/>
    </row>
    <row r="31">
      <c r="A31" s="5" t="inlineStr">
        <is>
          <t>T030</t>
        </is>
      </c>
      <c r="B31" s="5" t="inlineStr">
        <is>
          <t>v33</t>
        </is>
      </c>
      <c r="C31" s="5" t="inlineStr">
        <is>
          <t>RequesDetailtScreen</t>
        </is>
      </c>
      <c r="D31" s="5" t="inlineStr">
        <is>
          <t>No picker when opening an existing request</t>
        </is>
      </c>
      <c r="E31" s="5" t="inlineStr">
        <is>
          <t>Both</t>
        </is>
      </c>
      <c r="F31" s="5" t="inlineStr">
        <is>
          <t>Draft and Processing requests exist.</t>
        </is>
      </c>
      <c r="G31" s="5" t="inlineStr">
        <is>
          <t>1. Click a request row in HomeGallery (edit).
2. As requestor open a Processing request (view).</t>
        </is>
      </c>
      <c r="H31" s="5" t="inlineStr">
        <is>
          <t>The picker does not appear in either case.</t>
        </is>
      </c>
      <c r="I31" s="5" t="inlineStr">
        <is>
          <t>High</t>
        </is>
      </c>
      <c r="J31" s="6" t="inlineStr">
        <is>
          <t>Not run</t>
        </is>
      </c>
      <c r="K31" s="6" t="n"/>
      <c r="L31" s="7" t="n"/>
      <c r="M31" s="6" t="n"/>
    </row>
    <row r="32">
      <c r="A32" s="5" t="inlineStr">
        <is>
          <t>T031</t>
        </is>
      </c>
      <c r="B32" s="5" t="inlineStr">
        <is>
          <t>v33</t>
        </is>
      </c>
      <c r="C32" s="5" t="inlineStr">
        <is>
          <t>RequesDetailtScreen</t>
        </is>
      </c>
      <c r="D32" s="5" t="inlineStr">
        <is>
          <t>No picker when coming back from media tabs</t>
        </is>
      </c>
      <c r="E32" s="5" t="inlineStr">
        <is>
          <t>REQUESTOR</t>
        </is>
      </c>
      <c r="F32" s="5" t="inlineStr">
        <is>
          <t>New request with a type picked.</t>
        </is>
      </c>
      <c r="G32" s="5" t="inlineStr">
        <is>
          <t>1. Add media, go to the Info / Metadata tabs.
2. Use Exit / Back to request.</t>
        </is>
      </c>
      <c r="H32" s="5" t="inlineStr">
        <is>
          <t>The picker does not reopen; the type is still selected.</t>
        </is>
      </c>
      <c r="I32" s="5" t="inlineStr">
        <is>
          <t>High</t>
        </is>
      </c>
      <c r="J32" s="6" t="inlineStr">
        <is>
          <t>Not run</t>
        </is>
      </c>
      <c r="K32" s="6" t="n"/>
      <c r="L32" s="7" t="n"/>
      <c r="M32" s="6" t="n"/>
    </row>
    <row r="33">
      <c r="A33" s="5" t="inlineStr">
        <is>
          <t>T032</t>
        </is>
      </c>
      <c r="B33" s="5" t="inlineStr">
        <is>
          <t>v33</t>
        </is>
      </c>
      <c r="C33" s="5" t="inlineStr">
        <is>
          <t>RequesDetailtScreen</t>
        </is>
      </c>
      <c r="D33" s="5" t="inlineStr">
        <is>
          <t>No picker after Save Media; type restored</t>
        </is>
      </c>
      <c r="E33" s="5" t="inlineStr">
        <is>
          <t>REQUESTOR</t>
        </is>
      </c>
      <c r="F33" s="5" t="inlineStr">
        <is>
          <t>Request with a type.</t>
        </is>
      </c>
      <c r="G33" s="5" t="inlineStr">
        <is>
          <t>1. Save a media item on Validations.
2. Back on the request, add another media item.</t>
        </is>
      </c>
      <c r="H33" s="5" t="inlineStr">
        <is>
          <t>The picker stays closed; the type is restored from the saved media and a new media item can be added.</t>
        </is>
      </c>
      <c r="I33" s="5" t="inlineStr">
        <is>
          <t>High</t>
        </is>
      </c>
      <c r="J33" s="6" t="inlineStr">
        <is>
          <t>Not run</t>
        </is>
      </c>
      <c r="K33" s="6" t="n"/>
      <c r="L33" s="7" t="n"/>
      <c r="M33" s="6" t="n"/>
    </row>
    <row r="34">
      <c r="A34" s="5" t="inlineStr">
        <is>
          <t>T033</t>
        </is>
      </c>
      <c r="B34" s="5" t="inlineStr">
        <is>
          <t>v33</t>
        </is>
      </c>
      <c r="C34" s="5" t="inlineStr">
        <is>
          <t>RequesDetailtScreen</t>
        </is>
      </c>
      <c r="D34" s="5" t="inlineStr">
        <is>
          <t>"+" DG/Agency button follows RS_Owner</t>
        </is>
      </c>
      <c r="E34" s="5" t="inlineStr">
        <is>
          <t>REQUESTOR</t>
        </is>
      </c>
      <c r="F34" s="5" t="inlineStr">
        <is>
          <t>Draft request.</t>
        </is>
      </c>
      <c r="G34" s="5" t="inlineStr">
        <is>
          <t>1. Leave RS_Owner empty. 2. Pick a person in RS_Owner.</t>
        </is>
      </c>
      <c r="H34" s="5" t="inlineStr">
        <is>
          <t>Step 1: the "+" next to DG/Agency is enabled. Step 2: it is disabled. The Contractor "+" is not affected.</t>
        </is>
      </c>
      <c r="I34" s="5" t="inlineStr">
        <is>
          <t>High</t>
        </is>
      </c>
      <c r="J34" s="6" t="inlineStr">
        <is>
          <t>Not run</t>
        </is>
      </c>
      <c r="K34" s="6" t="n"/>
      <c r="L34" s="7" t="n"/>
      <c r="M34" s="6" t="n"/>
    </row>
    <row r="35">
      <c r="A35" s="5" t="inlineStr">
        <is>
          <t>T034</t>
        </is>
      </c>
      <c r="B35" s="5" t="inlineStr">
        <is>
          <t>v33</t>
        </is>
      </c>
      <c r="C35" s="5" t="inlineStr">
        <is>
          <t>RequesDetailtScreen</t>
        </is>
      </c>
      <c r="D35" s="5" t="inlineStr">
        <is>
          <t>"+" Contractor button follows RS_Contractor</t>
        </is>
      </c>
      <c r="E35" s="5" t="inlineStr">
        <is>
          <t>REQUESTOR</t>
        </is>
      </c>
      <c r="F35" s="5" t="inlineStr">
        <is>
          <t>Draft request.</t>
        </is>
      </c>
      <c r="G35" s="5" t="inlineStr">
        <is>
          <t>1. Leave RS_Contractor empty. 2. Pick a person.</t>
        </is>
      </c>
      <c r="H35" s="5" t="inlineStr">
        <is>
          <t>Enabled when empty, disabled when filled; DG/Agency "+" not affected.</t>
        </is>
      </c>
      <c r="I35" s="5" t="inlineStr">
        <is>
          <t>High</t>
        </is>
      </c>
      <c r="J35" s="6" t="inlineStr">
        <is>
          <t>Not run</t>
        </is>
      </c>
      <c r="K35" s="6" t="n"/>
      <c r="L35" s="7" t="n"/>
      <c r="M35" s="6" t="n"/>
    </row>
    <row r="36">
      <c r="A36" s="5" t="inlineStr">
        <is>
          <t>T035</t>
        </is>
      </c>
      <c r="B36" s="5" t="inlineStr">
        <is>
          <t>v33</t>
        </is>
      </c>
      <c r="C36" s="5" t="inlineStr">
        <is>
          <t>RequesDetailtScreen</t>
        </is>
      </c>
      <c r="D36" s="5" t="inlineStr">
        <is>
          <t>"+" disabled in view mode</t>
        </is>
      </c>
      <c r="E36" s="5" t="inlineStr">
        <is>
          <t>REQUESTOR</t>
        </is>
      </c>
      <c r="F36" s="5" t="inlineStr">
        <is>
          <t>Processing request opened by the requestor.</t>
        </is>
      </c>
      <c r="G36" s="5" t="inlineStr">
        <is>
          <t>1. Look at both "+" buttons.</t>
        </is>
      </c>
      <c r="H36" s="5" t="inlineStr">
        <is>
          <t>Both are disabled.</t>
        </is>
      </c>
      <c r="I36" s="5" t="inlineStr">
        <is>
          <t>Medium</t>
        </is>
      </c>
      <c r="J36" s="6" t="inlineStr">
        <is>
          <t>Not run</t>
        </is>
      </c>
      <c r="K36" s="6" t="n"/>
      <c r="L36" s="7" t="n"/>
      <c r="M36" s="6" t="n"/>
    </row>
    <row r="37">
      <c r="A37" s="5" t="inlineStr">
        <is>
          <t>T036</t>
        </is>
      </c>
      <c r="B37" s="5" t="inlineStr">
        <is>
          <t>v33</t>
        </is>
      </c>
      <c r="C37" s="5" t="inlineStr">
        <is>
          <t>RequesDetailtScreen</t>
        </is>
      </c>
      <c r="D37" s="5" t="inlineStr">
        <is>
          <t>Contacts do not leak between requests</t>
        </is>
      </c>
      <c r="E37" s="5" t="inlineStr">
        <is>
          <t>REQUESTOR</t>
        </is>
      </c>
      <c r="F37" s="5" t="inlineStr">
        <is>
          <t>Two Draft requests.</t>
        </is>
      </c>
      <c r="G37" s="5" t="inlineStr">
        <is>
          <t>1. Open request A, pick a contact without saving.
2. Go back and open request B.</t>
        </is>
      </c>
      <c r="H37" s="5" t="inlineStr">
        <is>
          <t>Request B shows its own contacts, not the one picked on A.</t>
        </is>
      </c>
      <c r="I37" s="5" t="inlineStr">
        <is>
          <t>High</t>
        </is>
      </c>
      <c r="J37" s="6" t="inlineStr">
        <is>
          <t>Not run</t>
        </is>
      </c>
      <c r="K37" s="6" t="n"/>
      <c r="L37" s="7" t="n"/>
      <c r="M37" s="6" t="n"/>
    </row>
    <row r="38">
      <c r="A38" s="5" t="inlineStr">
        <is>
          <t>T037</t>
        </is>
      </c>
      <c r="B38" s="5" t="inlineStr">
        <is>
          <t>v33</t>
        </is>
      </c>
      <c r="C38" s="5" t="inlineStr">
        <is>
          <t>RequesDetailtScreen</t>
        </is>
      </c>
      <c r="D38" s="5" t="inlineStr">
        <is>
          <t>Manual email kept across first save</t>
        </is>
      </c>
      <c r="E38" s="5" t="inlineStr">
        <is>
          <t>REQUESTOR</t>
        </is>
      </c>
      <c r="F38" s="5" t="inlineStr">
        <is>
          <t>—</t>
        </is>
      </c>
      <c r="G38" s="5" t="inlineStr">
        <is>
          <t>1. New request; add a manual DG/Agency email with "+".
2. Pick a type and add media (this saves the request).
3. Come back.</t>
        </is>
      </c>
      <c r="H38" s="5" t="inlineStr">
        <is>
          <t>The manual email is still selected and the "+" stays disabled.</t>
        </is>
      </c>
      <c r="I38" s="5" t="inlineStr">
        <is>
          <t>High</t>
        </is>
      </c>
      <c r="J38" s="6" t="inlineStr">
        <is>
          <t>Not run</t>
        </is>
      </c>
      <c r="K38" s="6" t="n"/>
      <c r="L38" s="7" t="n"/>
      <c r="M38" s="6" t="n"/>
    </row>
    <row r="39">
      <c r="A39" s="5" t="inlineStr">
        <is>
          <t>T038</t>
        </is>
      </c>
      <c r="B39" s="5" t="inlineStr">
        <is>
          <t>v34</t>
        </is>
      </c>
      <c r="C39" s="5" t="inlineStr">
        <is>
          <t>RequesDetailtScreen</t>
        </is>
      </c>
      <c r="D39" s="5" t="inlineStr">
        <is>
          <t>Administrator notes: admin edits</t>
        </is>
      </c>
      <c r="E39" s="5" t="inlineStr">
        <is>
          <t>ADMINISTRATOR</t>
        </is>
      </c>
      <c r="F39" s="5" t="inlineStr">
        <is>
          <t>Processing request.</t>
        </is>
      </c>
      <c r="G39" s="5" t="inlineStr">
        <is>
          <t>1. Open it. 2. Type in "Administrator notes". 3. Click elsewhere.</t>
        </is>
      </c>
      <c r="H39" s="5" t="inlineStr">
        <is>
          <t>"Administrator notes saved." appears; the Notes column of the request in SharePoint has the text.</t>
        </is>
      </c>
      <c r="I39" s="5" t="inlineStr">
        <is>
          <t>High</t>
        </is>
      </c>
      <c r="J39" s="6" t="inlineStr">
        <is>
          <t>Not run</t>
        </is>
      </c>
      <c r="K39" s="6" t="n"/>
      <c r="L39" s="7" t="n"/>
      <c r="M39" s="6" t="n"/>
    </row>
    <row r="40">
      <c r="A40" s="5" t="inlineStr">
        <is>
          <t>T039</t>
        </is>
      </c>
      <c r="B40" s="5" t="inlineStr">
        <is>
          <t>v34</t>
        </is>
      </c>
      <c r="C40" s="5" t="inlineStr">
        <is>
          <t>RequesDetailtScreen</t>
        </is>
      </c>
      <c r="D40" s="5" t="inlineStr">
        <is>
          <t>Administrator notes reload</t>
        </is>
      </c>
      <c r="E40" s="5" t="inlineStr">
        <is>
          <t>ADMINISTRATOR</t>
        </is>
      </c>
      <c r="F40" s="5" t="inlineStr">
        <is>
          <t>Notes saved as above.</t>
        </is>
      </c>
      <c r="G40" s="5" t="inlineStr">
        <is>
          <t>1. Go back to RequestManagementScreen and reopen the request.</t>
        </is>
      </c>
      <c r="H40" s="5" t="inlineStr">
        <is>
          <t>The notes are shown.</t>
        </is>
      </c>
      <c r="I40" s="5" t="inlineStr">
        <is>
          <t>High</t>
        </is>
      </c>
      <c r="J40" s="6" t="inlineStr">
        <is>
          <t>Not run</t>
        </is>
      </c>
      <c r="K40" s="6" t="n"/>
      <c r="L40" s="7" t="n"/>
      <c r="M40" s="6" t="n"/>
    </row>
    <row r="41">
      <c r="A41" s="5" t="inlineStr">
        <is>
          <t>T040</t>
        </is>
      </c>
      <c r="B41" s="5" t="inlineStr">
        <is>
          <t>v34</t>
        </is>
      </c>
      <c r="C41" s="5" t="inlineStr">
        <is>
          <t>RequesDetailtScreen</t>
        </is>
      </c>
      <c r="D41" s="5" t="inlineStr">
        <is>
          <t>Requestor sees notes read-only</t>
        </is>
      </c>
      <c r="E41" s="5" t="inlineStr">
        <is>
          <t>REQUESTOR</t>
        </is>
      </c>
      <c r="F41" s="5" t="inlineStr">
        <is>
          <t>Request with admin notes.</t>
        </is>
      </c>
      <c r="G41" s="5" t="inlineStr">
        <is>
          <t>1. Open the request as requestor.</t>
        </is>
      </c>
      <c r="H41" s="5" t="inlineStr">
        <is>
          <t>Notes are visible and cannot be edited.</t>
        </is>
      </c>
      <c r="I41" s="5" t="inlineStr">
        <is>
          <t>High</t>
        </is>
      </c>
      <c r="J41" s="6" t="inlineStr">
        <is>
          <t>Not run</t>
        </is>
      </c>
      <c r="K41" s="6" t="n"/>
      <c r="L41" s="7" t="n"/>
      <c r="M41" s="6" t="n"/>
    </row>
    <row r="42">
      <c r="A42" s="5" t="inlineStr">
        <is>
          <t>T041</t>
        </is>
      </c>
      <c r="B42" s="5" t="inlineStr">
        <is>
          <t>v34</t>
        </is>
      </c>
      <c r="C42" s="5" t="inlineStr">
        <is>
          <t>RequesDetailtScreen</t>
        </is>
      </c>
      <c r="D42" s="5" t="inlineStr">
        <is>
          <t>Placeholder when there are no notes</t>
        </is>
      </c>
      <c r="E42" s="5" t="inlineStr">
        <is>
          <t>REQUESTOR</t>
        </is>
      </c>
      <c r="F42" s="5" t="inlineStr">
        <is>
          <t>Request without admin notes.</t>
        </is>
      </c>
      <c r="G42" s="5" t="inlineStr">
        <is>
          <t>1. Open the request.</t>
        </is>
      </c>
      <c r="H42" s="5" t="inlineStr">
        <is>
          <t>"No notes from the administrator" in grey, read-only.</t>
        </is>
      </c>
      <c r="I42" s="5" t="inlineStr">
        <is>
          <t>Medium</t>
        </is>
      </c>
      <c r="J42" s="6" t="inlineStr">
        <is>
          <t>Not run</t>
        </is>
      </c>
      <c r="K42" s="6" t="n"/>
      <c r="L42" s="7" t="n"/>
      <c r="M42" s="6" t="n"/>
    </row>
    <row r="43">
      <c r="A43" s="5" t="inlineStr">
        <is>
          <t>T042</t>
        </is>
      </c>
      <c r="B43" s="5" t="inlineStr">
        <is>
          <t>v34</t>
        </is>
      </c>
      <c r="C43" s="5" t="inlineStr">
        <is>
          <t>RequesDetailtScreen</t>
        </is>
      </c>
      <c r="D43" s="5" t="inlineStr">
        <is>
          <t>Requestor save does not change admin notes</t>
        </is>
      </c>
      <c r="E43" s="5" t="inlineStr">
        <is>
          <t>REQUESTOR</t>
        </is>
      </c>
      <c r="F43" s="5" t="inlineStr">
        <is>
          <t>Draft request with admin notes.</t>
        </is>
      </c>
      <c r="G43" s="5" t="inlineStr">
        <is>
          <t>1. Edit the title and press Draft Save.</t>
        </is>
      </c>
      <c r="H43" s="5" t="inlineStr">
        <is>
          <t>The Notes column keeps the admin text (placeholder never saved).</t>
        </is>
      </c>
      <c r="I43" s="5" t="inlineStr">
        <is>
          <t>High</t>
        </is>
      </c>
      <c r="J43" s="6" t="inlineStr">
        <is>
          <t>Not run</t>
        </is>
      </c>
      <c r="K43" s="6" t="n"/>
      <c r="L43" s="7" t="n"/>
      <c r="M43" s="6" t="n"/>
    </row>
    <row r="44">
      <c r="A44" s="5" t="inlineStr">
        <is>
          <t>T043</t>
        </is>
      </c>
      <c r="B44" s="5" t="inlineStr">
        <is>
          <t>v34</t>
        </is>
      </c>
      <c r="C44" s="5" t="inlineStr">
        <is>
          <t>RequesDetailtScreen</t>
        </is>
      </c>
      <c r="D44" s="5" t="inlineStr">
        <is>
          <t>Notes empty on a new request</t>
        </is>
      </c>
      <c r="E44" s="5" t="inlineStr">
        <is>
          <t>ADMINISTRATOR</t>
        </is>
      </c>
      <c r="F44" s="5" t="inlineStr">
        <is>
          <t>—</t>
        </is>
      </c>
      <c r="G44" s="5" t="inlineStr">
        <is>
          <t>1. Open a request with notes. 2. Go back and press New request.</t>
        </is>
      </c>
      <c r="H44" s="5" t="inlineStr">
        <is>
          <t>The notes box is empty.</t>
        </is>
      </c>
      <c r="I44" s="5" t="inlineStr">
        <is>
          <t>Medium</t>
        </is>
      </c>
      <c r="J44" s="6" t="inlineStr">
        <is>
          <t>Not run</t>
        </is>
      </c>
      <c r="K44" s="6" t="n"/>
      <c r="L44" s="7" t="n"/>
      <c r="M44" s="6" t="n"/>
    </row>
    <row r="45">
      <c r="A45" s="5" t="inlineStr">
        <is>
          <t>T044</t>
        </is>
      </c>
      <c r="B45" s="5" t="inlineStr">
        <is>
          <t>v34</t>
        </is>
      </c>
      <c r="C45" s="5" t="inlineStr">
        <is>
          <t>RequesDetailtScreen</t>
        </is>
      </c>
      <c r="D45" s="5" t="inlineStr">
        <is>
          <t>Rejection line moved</t>
        </is>
      </c>
      <c r="E45" s="5" t="inlineStr">
        <is>
          <t>REQUESTOR</t>
        </is>
      </c>
      <c r="F45" s="5" t="inlineStr">
        <is>
          <t>Rejected request.</t>
        </is>
      </c>
      <c r="G45" s="5" t="inlineStr">
        <is>
          <t>1. Open it.</t>
        </is>
      </c>
      <c r="H45" s="5" t="inlineStr">
        <is>
          <t>"Request rejected…" appears in the header row, not over the notes box.</t>
        </is>
      </c>
      <c r="I45" s="5" t="inlineStr">
        <is>
          <t>Low</t>
        </is>
      </c>
      <c r="J45" s="6" t="inlineStr">
        <is>
          <t>Not run</t>
        </is>
      </c>
      <c r="K45" s="6" t="n"/>
      <c r="L45" s="7" t="n"/>
      <c r="M45" s="6" t="n"/>
    </row>
    <row r="46">
      <c r="A46" s="5" t="inlineStr">
        <is>
          <t>T045</t>
        </is>
      </c>
      <c r="B46" s="5" t="inlineStr">
        <is>
          <t>v34</t>
        </is>
      </c>
      <c r="C46" s="5" t="inlineStr">
        <is>
          <t>ReviewScreen</t>
        </is>
      </c>
      <c r="D46" s="5" t="inlineStr">
        <is>
          <t>Internal Notes per media row</t>
        </is>
      </c>
      <c r="E46" s="5" t="inlineStr">
        <is>
          <t>ADMINISTRATOR</t>
        </is>
      </c>
      <c r="F46" s="5" t="inlineStr">
        <is>
          <t>Processing request with 2+ media items.</t>
        </is>
      </c>
      <c r="G46" s="5" t="inlineStr">
        <is>
          <t>1. Select the request.
2. Type in the Internal Notes box of one row.</t>
        </is>
      </c>
      <c r="H46" s="5" t="inlineStr">
        <is>
          <t>Only that row's save icon turns blue.</t>
        </is>
      </c>
      <c r="I46" s="5" t="inlineStr">
        <is>
          <t>High</t>
        </is>
      </c>
      <c r="J46" s="6" t="inlineStr">
        <is>
          <t>Not run</t>
        </is>
      </c>
      <c r="K46" s="6" t="n"/>
      <c r="L46" s="7" t="n"/>
      <c r="M46" s="6" t="n"/>
    </row>
    <row r="47">
      <c r="A47" s="5" t="inlineStr">
        <is>
          <t>T046</t>
        </is>
      </c>
      <c r="B47" s="5" t="inlineStr">
        <is>
          <t>v34</t>
        </is>
      </c>
      <c r="C47" s="5" t="inlineStr">
        <is>
          <t>ReviewScreen</t>
        </is>
      </c>
      <c r="D47" s="5" t="inlineStr">
        <is>
          <t>Save Internal Notes</t>
        </is>
      </c>
      <c r="E47" s="5" t="inlineStr">
        <is>
          <t>ADMINISTRATOR</t>
        </is>
      </c>
      <c r="F47" s="5" t="inlineStr">
        <is>
          <t>As above.</t>
        </is>
      </c>
      <c r="G47" s="5" t="inlineStr">
        <is>
          <t>1. Press the save icon.</t>
        </is>
      </c>
      <c r="H47" s="5" t="inlineStr">
        <is>
          <t>"Internal notes saved for &lt;media number&gt;." appears; the row does not move; the icon turns grey; SharePoint Notes updated.</t>
        </is>
      </c>
      <c r="I47" s="5" t="inlineStr">
        <is>
          <t>High</t>
        </is>
      </c>
      <c r="J47" s="6" t="inlineStr">
        <is>
          <t>Not run</t>
        </is>
      </c>
      <c r="K47" s="6" t="n"/>
      <c r="L47" s="7" t="n"/>
      <c r="M47" s="6" t="n"/>
    </row>
    <row r="48">
      <c r="A48" s="5" t="inlineStr">
        <is>
          <t>T047</t>
        </is>
      </c>
      <c r="B48" s="5" t="inlineStr">
        <is>
          <t>v34</t>
        </is>
      </c>
      <c r="C48" s="5" t="inlineStr">
        <is>
          <t>ReviewScreen</t>
        </is>
      </c>
      <c r="D48" s="5" t="inlineStr">
        <is>
          <t>Internal Notes survive refresh</t>
        </is>
      </c>
      <c r="E48" s="5" t="inlineStr">
        <is>
          <t>ADMINISTRATOR</t>
        </is>
      </c>
      <c r="F48" s="5" t="inlineStr">
        <is>
          <t>Saved note.</t>
        </is>
      </c>
      <c r="G48" s="5" t="inlineStr">
        <is>
          <t>1. Leave ReviewScreen and come back; select the request again.</t>
        </is>
      </c>
      <c r="H48" s="5" t="inlineStr">
        <is>
          <t>The saved note is shown.</t>
        </is>
      </c>
      <c r="I48" s="5" t="inlineStr">
        <is>
          <t>Medium</t>
        </is>
      </c>
      <c r="J48" s="6" t="inlineStr">
        <is>
          <t>Not run</t>
        </is>
      </c>
      <c r="K48" s="6" t="n"/>
      <c r="L48" s="7" t="n"/>
      <c r="M48" s="6" t="n"/>
    </row>
    <row r="49">
      <c r="A49" s="5" t="inlineStr">
        <is>
          <t>T048</t>
        </is>
      </c>
      <c r="B49" s="5" t="inlineStr">
        <is>
          <t>v34</t>
        </is>
      </c>
      <c r="C49" s="5" t="inlineStr">
        <is>
          <t>ReviewScreen</t>
        </is>
      </c>
      <c r="D49" s="5" t="inlineStr">
        <is>
          <t>Internal Notes save error</t>
        </is>
      </c>
      <c r="E49" s="5" t="inlineStr">
        <is>
          <t>ADMINISTRATOR</t>
        </is>
      </c>
      <c r="F49" s="5" t="inlineStr">
        <is>
          <t>—</t>
        </is>
      </c>
      <c r="G49" s="5" t="inlineStr">
        <is>
          <t>1. Go offline, edit a note, press save.</t>
        </is>
      </c>
      <c r="H49" s="5" t="inlineStr">
        <is>
          <t>Error notification "Internal notes could not be saved: …".</t>
        </is>
      </c>
      <c r="I49" s="5" t="inlineStr">
        <is>
          <t>Low</t>
        </is>
      </c>
      <c r="J49" s="6" t="inlineStr">
        <is>
          <t>Not run</t>
        </is>
      </c>
      <c r="K49" s="6" t="n"/>
      <c r="L49" s="7" t="n"/>
      <c r="M49" s="6" t="n"/>
    </row>
    <row r="50">
      <c r="A50" s="5" t="inlineStr">
        <is>
          <t>T049</t>
        </is>
      </c>
      <c r="B50" s="5" t="inlineStr">
        <is>
          <t>v34</t>
        </is>
      </c>
      <c r="C50" s="5" t="inlineStr">
        <is>
          <t>ReviewScreen</t>
        </is>
      </c>
      <c r="D50" s="5" t="inlineStr">
        <is>
          <t>Layout fits the screen</t>
        </is>
      </c>
      <c r="E50" s="5" t="inlineStr">
        <is>
          <t>ADMINISTRATOR</t>
        </is>
      </c>
      <c r="F50" s="5" t="inlineStr">
        <is>
          <t>Request selected.</t>
        </is>
      </c>
      <c r="G50" s="5" t="inlineStr">
        <is>
          <t>1. Check the media gallery, assignee, comment and buttons.</t>
        </is>
      </c>
      <c r="H50" s="5" t="inlineStr">
        <is>
          <t>Nothing overlaps; Approve / Reject / Need info are fully visible.</t>
        </is>
      </c>
      <c r="I50" s="5" t="inlineStr">
        <is>
          <t>Medium</t>
        </is>
      </c>
      <c r="J50" s="6" t="inlineStr">
        <is>
          <t>Not run</t>
        </is>
      </c>
      <c r="K50" s="6" t="n"/>
      <c r="L50" s="7" t="n"/>
      <c r="M50" s="6" t="n"/>
    </row>
    <row r="51">
      <c r="A51" s="5" t="inlineStr">
        <is>
          <t>T050</t>
        </is>
      </c>
      <c r="B51" s="5" t="inlineStr">
        <is>
          <t>v34</t>
        </is>
      </c>
      <c r="C51" s="5" t="inlineStr">
        <is>
          <t>All screens</t>
        </is>
      </c>
      <c r="D51" s="5" t="inlineStr">
        <is>
          <t>ReviewScreen not reachable by requestor</t>
        </is>
      </c>
      <c r="E51" s="5" t="inlineStr">
        <is>
          <t>REQUESTOR</t>
        </is>
      </c>
      <c r="F51" s="5" t="inlineStr">
        <is>
          <t>—</t>
        </is>
      </c>
      <c r="G51" s="5" t="inlineStr">
        <is>
          <t>1. Check the top menu on every screen and the row buttons on RequestManagementScreen and the Dashboard.</t>
        </is>
      </c>
      <c r="H51" s="5" t="inlineStr">
        <is>
          <t>No Review button or link is visible anywhere.</t>
        </is>
      </c>
      <c r="I51" s="5" t="inlineStr">
        <is>
          <t>High</t>
        </is>
      </c>
      <c r="J51" s="6" t="inlineStr">
        <is>
          <t>Not run</t>
        </is>
      </c>
      <c r="K51" s="6" t="n"/>
      <c r="L51" s="7" t="n"/>
      <c r="M51" s="6" t="n"/>
    </row>
    <row r="52">
      <c r="A52" s="5" t="inlineStr">
        <is>
          <t>T051</t>
        </is>
      </c>
      <c r="B52" s="5" t="inlineStr">
        <is>
          <t>v35</t>
        </is>
      </c>
      <c r="C52" s="5" t="inlineStr">
        <is>
          <t>RequesDetailtScreen</t>
        </is>
      </c>
      <c r="D52" s="5" t="inlineStr">
        <is>
          <t>Draft Save on a new request</t>
        </is>
      </c>
      <c r="E52" s="5" t="inlineStr">
        <is>
          <t>REQUESTOR</t>
        </is>
      </c>
      <c r="F52" s="5" t="inlineStr">
        <is>
          <t>—</t>
        </is>
      </c>
      <c r="G52" s="5" t="inlineStr">
        <is>
          <t>1. New request: title, DG, both contacts. 2. Draft Save.</t>
        </is>
      </c>
      <c r="H52" s="5" t="inlineStr">
        <is>
          <t>"Draft saved."; SharePoint has title, DG, both contacts and status Draft.</t>
        </is>
      </c>
      <c r="I52" s="5" t="inlineStr">
        <is>
          <t>High</t>
        </is>
      </c>
      <c r="J52" s="6" t="inlineStr">
        <is>
          <t>Not run</t>
        </is>
      </c>
      <c r="K52" s="6" t="n"/>
      <c r="L52" s="7" t="n"/>
      <c r="M52" s="6" t="n"/>
    </row>
    <row r="53">
      <c r="A53" s="5" t="inlineStr">
        <is>
          <t>T052</t>
        </is>
      </c>
      <c r="B53" s="5" t="inlineStr">
        <is>
          <t>v35</t>
        </is>
      </c>
      <c r="C53" s="5" t="inlineStr">
        <is>
          <t>RequesDetailtScreen</t>
        </is>
      </c>
      <c r="D53" s="5" t="inlineStr">
        <is>
          <t>Opened request shows its own values</t>
        </is>
      </c>
      <c r="E53" s="5" t="inlineStr">
        <is>
          <t>REQUESTOR</t>
        </is>
      </c>
      <c r="F53" s="5" t="inlineStr">
        <is>
          <t>Two Draft requests with different titles/DGs.</t>
        </is>
      </c>
      <c r="G53" s="5" t="inlineStr">
        <is>
          <t>1. Open A. 2. Go back, open B.</t>
        </is>
      </c>
      <c r="H53" s="5" t="inlineStr">
        <is>
          <t>B shows its own title, description, DG and contacts (not A's).</t>
        </is>
      </c>
      <c r="I53" s="5" t="inlineStr">
        <is>
          <t>High</t>
        </is>
      </c>
      <c r="J53" s="6" t="inlineStr">
        <is>
          <t>Not run</t>
        </is>
      </c>
      <c r="K53" s="6" t="n"/>
      <c r="L53" s="7" t="n"/>
      <c r="M53" s="6" t="n"/>
    </row>
    <row r="54">
      <c r="A54" s="5" t="inlineStr">
        <is>
          <t>T053</t>
        </is>
      </c>
      <c r="B54" s="5" t="inlineStr">
        <is>
          <t>v35</t>
        </is>
      </c>
      <c r="C54" s="5" t="inlineStr">
        <is>
          <t>RequesDetailtScreen</t>
        </is>
      </c>
      <c r="D54" s="5" t="inlineStr">
        <is>
          <t>Draft Save does not overwrite with old values</t>
        </is>
      </c>
      <c r="E54" s="5" t="inlineStr">
        <is>
          <t>REQUESTOR</t>
        </is>
      </c>
      <c r="F54" s="5" t="inlineStr">
        <is>
          <t>Draft request B opened after A.</t>
        </is>
      </c>
      <c r="G54" s="5" t="inlineStr">
        <is>
          <t>1. Change only the description. 2. Draft Save.</t>
        </is>
      </c>
      <c r="H54" s="5" t="inlineStr">
        <is>
          <t>Title and DG of B are unchanged in SharePoint; description updated.</t>
        </is>
      </c>
      <c r="I54" s="5" t="inlineStr">
        <is>
          <t>High</t>
        </is>
      </c>
      <c r="J54" s="6" t="inlineStr">
        <is>
          <t>Not run</t>
        </is>
      </c>
      <c r="K54" s="6" t="n"/>
      <c r="L54" s="7" t="n"/>
      <c r="M54" s="6" t="n"/>
    </row>
    <row r="55">
      <c r="A55" s="5" t="inlineStr">
        <is>
          <t>T054</t>
        </is>
      </c>
      <c r="B55" s="5" t="inlineStr">
        <is>
          <t>v35</t>
        </is>
      </c>
      <c r="C55" s="5" t="inlineStr">
        <is>
          <t>RequesDetailtScreen</t>
        </is>
      </c>
      <c r="D55" s="5" t="inlineStr">
        <is>
          <t>DG change is saved</t>
        </is>
      </c>
      <c r="E55" s="5" t="inlineStr">
        <is>
          <t>REQUESTOR</t>
        </is>
      </c>
      <c r="F55" s="5" t="inlineStr">
        <is>
          <t>Draft request.</t>
        </is>
      </c>
      <c r="G55" s="5" t="inlineStr">
        <is>
          <t>1. Pick another DG. 2. Draft Save. 3. Reopen.</t>
        </is>
      </c>
      <c r="H55" s="5" t="inlineStr">
        <is>
          <t>The new DG is saved and shown.</t>
        </is>
      </c>
      <c r="I55" s="5" t="inlineStr">
        <is>
          <t>High</t>
        </is>
      </c>
      <c r="J55" s="6" t="inlineStr">
        <is>
          <t>Not run</t>
        </is>
      </c>
      <c r="K55" s="6" t="n"/>
      <c r="L55" s="7" t="n"/>
      <c r="M55" s="6" t="n"/>
    </row>
    <row r="56">
      <c r="A56" s="5" t="inlineStr">
        <is>
          <t>T055</t>
        </is>
      </c>
      <c r="B56" s="5" t="inlineStr">
        <is>
          <t>v35</t>
        </is>
      </c>
      <c r="C56" s="5" t="inlineStr">
        <is>
          <t>RequesDetailtScreen</t>
        </is>
      </c>
      <c r="D56" s="5" t="inlineStr">
        <is>
          <t>Submit enabled on a reopened draft</t>
        </is>
      </c>
      <c r="E56" s="5" t="inlineStr">
        <is>
          <t>REQUESTOR</t>
        </is>
      </c>
      <c r="F56" s="5" t="inlineStr">
        <is>
          <t>Draft with contacts and valid media saved earlier.</t>
        </is>
      </c>
      <c r="G56" s="5" t="inlineStr">
        <is>
          <t>1. Reopen the draft.</t>
        </is>
      </c>
      <c r="H56" s="5" t="inlineStr">
        <is>
          <t>Both contacts are pre-selected and "Submit request" is enabled.</t>
        </is>
      </c>
      <c r="I56" s="5" t="inlineStr">
        <is>
          <t>High</t>
        </is>
      </c>
      <c r="J56" s="6" t="inlineStr">
        <is>
          <t>Not run</t>
        </is>
      </c>
      <c r="K56" s="6" t="n"/>
      <c r="L56" s="7" t="n"/>
      <c r="M56" s="6" t="n"/>
    </row>
    <row r="57">
      <c r="A57" s="5" t="inlineStr">
        <is>
          <t>T056</t>
        </is>
      </c>
      <c r="B57" s="5" t="inlineStr">
        <is>
          <t>v35</t>
        </is>
      </c>
      <c r="C57" s="5" t="inlineStr">
        <is>
          <t>RequesDetailtScreen</t>
        </is>
      </c>
      <c r="D57" s="5" t="inlineStr">
        <is>
          <t>Submit</t>
        </is>
      </c>
      <c r="E57" s="5" t="inlineStr">
        <is>
          <t>REQUESTOR</t>
        </is>
      </c>
      <c r="F57" s="5" t="inlineStr">
        <is>
          <t>Valid draft.</t>
        </is>
      </c>
      <c r="G57" s="5" t="inlineStr">
        <is>
          <t>1. Press Submit request.</t>
        </is>
      </c>
      <c r="H57" s="5" t="inlineStr">
        <is>
          <t>"Request submitted successfully."; you land on RequestManagementScreen and the request shows as Processing.</t>
        </is>
      </c>
      <c r="I57" s="5" t="inlineStr">
        <is>
          <t>High</t>
        </is>
      </c>
      <c r="J57" s="6" t="inlineStr">
        <is>
          <t>Not run</t>
        </is>
      </c>
      <c r="K57" s="6" t="n"/>
      <c r="L57" s="7" t="n"/>
      <c r="M57" s="6" t="n"/>
    </row>
    <row r="58">
      <c r="A58" s="5" t="inlineStr">
        <is>
          <t>T057</t>
        </is>
      </c>
      <c r="B58" s="5" t="inlineStr">
        <is>
          <t>v35</t>
        </is>
      </c>
      <c r="C58" s="5" t="inlineStr">
        <is>
          <t>RequesDetailtScreen</t>
        </is>
      </c>
      <c r="D58" s="5" t="inlineStr">
        <is>
          <t>Resubmit</t>
        </is>
      </c>
      <c r="E58" s="5" t="inlineStr">
        <is>
          <t>REQUESTOR</t>
        </is>
      </c>
      <c r="F58" s="5" t="inlineStr">
        <is>
          <t>Pending or Rejected request with valid data.</t>
        </is>
      </c>
      <c r="G58" s="5" t="inlineStr">
        <is>
          <t>1. Press Resubmit.</t>
        </is>
      </c>
      <c r="H58" s="5" t="inlineStr">
        <is>
          <t>"Request resubmitted for review."; status Processing in the list.</t>
        </is>
      </c>
      <c r="I58" s="5" t="inlineStr">
        <is>
          <t>High</t>
        </is>
      </c>
      <c r="J58" s="6" t="inlineStr">
        <is>
          <t>Not run</t>
        </is>
      </c>
      <c r="K58" s="6" t="n"/>
      <c r="L58" s="7" t="n"/>
      <c r="M58" s="6" t="n"/>
    </row>
    <row r="59">
      <c r="A59" s="5" t="inlineStr">
        <is>
          <t>T058</t>
        </is>
      </c>
      <c r="B59" s="5" t="inlineStr">
        <is>
          <t>v35</t>
        </is>
      </c>
      <c r="C59" s="5" t="inlineStr">
        <is>
          <t>RequesDetailtScreen</t>
        </is>
      </c>
      <c r="D59" s="5" t="inlineStr">
        <is>
          <t>Save works with a manual email selected</t>
        </is>
      </c>
      <c r="E59" s="5" t="inlineStr">
        <is>
          <t>REQUESTOR</t>
        </is>
      </c>
      <c r="F59" s="5" t="inlineStr">
        <is>
          <t>Draft request.</t>
        </is>
      </c>
      <c r="G59" s="5" t="inlineStr">
        <is>
          <t>1. Pick a manual Contractor email. 2. Draft Save.</t>
        </is>
      </c>
      <c r="H59" s="5" t="inlineStr">
        <is>
          <t>Saved without error.</t>
        </is>
      </c>
      <c r="I59" s="5" t="inlineStr">
        <is>
          <t>High</t>
        </is>
      </c>
      <c r="J59" s="6" t="inlineStr">
        <is>
          <t>Not run</t>
        </is>
      </c>
      <c r="K59" s="6" t="n"/>
      <c r="L59" s="7" t="n"/>
      <c r="M59" s="6" t="n"/>
    </row>
    <row r="60">
      <c r="A60" s="5" t="inlineStr">
        <is>
          <t>T059</t>
        </is>
      </c>
      <c r="B60" s="5" t="inlineStr">
        <is>
          <t>v36</t>
        </is>
      </c>
      <c r="C60" s="5" t="inlineStr">
        <is>
          <t>Studio</t>
        </is>
      </c>
      <c r="D60" s="5" t="inlineStr">
        <is>
          <t>Data source refreshed</t>
        </is>
      </c>
      <c r="E60" s="5" t="inlineStr">
        <is>
          <t>ADMINISTRATOR</t>
        </is>
      </c>
      <c r="F60" s="5" t="inlineStr">
        <is>
          <t>Columns Manual_DG_Agency_Contact and Manual_Contractor_Contact exist (single line of text) on AV-CD-Requests.</t>
        </is>
      </c>
      <c r="G60" s="5" t="inlineStr">
        <is>
          <t>1. In Studio: Data → AV-CD-Requests → Refresh.
2. Check App checker.</t>
        </is>
      </c>
      <c r="H60" s="5" t="inlineStr">
        <is>
          <t>No formula errors mentioning Manual_*.</t>
        </is>
      </c>
      <c r="I60" s="5" t="inlineStr">
        <is>
          <t>High</t>
        </is>
      </c>
      <c r="J60" s="6" t="inlineStr">
        <is>
          <t>Not run</t>
        </is>
      </c>
      <c r="K60" s="6" t="n"/>
      <c r="L60" s="7" t="n"/>
      <c r="M60" s="6" t="n"/>
    </row>
    <row r="61">
      <c r="A61" s="5" t="inlineStr">
        <is>
          <t>T060</t>
        </is>
      </c>
      <c r="B61" s="5" t="inlineStr">
        <is>
          <t>v36</t>
        </is>
      </c>
      <c r="C61" s="5" t="inlineStr">
        <is>
          <t>RequesDetailtScreen</t>
        </is>
      </c>
      <c r="D61" s="5" t="inlineStr">
        <is>
          <t>Manual contacts saved to columns</t>
        </is>
      </c>
      <c r="E61" s="5" t="inlineStr">
        <is>
          <t>REQUESTOR</t>
        </is>
      </c>
      <c r="F61" s="5" t="inlineStr">
        <is>
          <t>Draft request.</t>
        </is>
      </c>
      <c r="G61" s="5" t="inlineStr">
        <is>
          <t>1. Add manual DG/Agency and Contractor emails. 2. Draft Save.</t>
        </is>
      </c>
      <c r="H61" s="5" t="inlineStr">
        <is>
          <t>Manual_DG_Agency_Contact and Manual_Contractor_Contact hold the emails; Person columns hold only Microsoft 365 users.</t>
        </is>
      </c>
      <c r="I61" s="5" t="inlineStr">
        <is>
          <t>High</t>
        </is>
      </c>
      <c r="J61" s="6" t="inlineStr">
        <is>
          <t>Not run</t>
        </is>
      </c>
      <c r="K61" s="6" t="n"/>
      <c r="L61" s="7" t="n"/>
      <c r="M61" s="6" t="n"/>
    </row>
    <row r="62">
      <c r="A62" s="5" t="inlineStr">
        <is>
          <t>T061</t>
        </is>
      </c>
      <c r="B62" s="5" t="inlineStr">
        <is>
          <t>v36</t>
        </is>
      </c>
      <c r="C62" s="5" t="inlineStr">
        <is>
          <t>RequesDetailtScreen</t>
        </is>
      </c>
      <c r="D62" s="5" t="inlineStr">
        <is>
          <t>Manual contacts reload in a new session</t>
        </is>
      </c>
      <c r="E62" s="5" t="inlineStr">
        <is>
          <t>REQUESTOR</t>
        </is>
      </c>
      <c r="F62" s="5" t="inlineStr">
        <is>
          <t>Saved as above.</t>
        </is>
      </c>
      <c r="G62" s="5" t="inlineStr">
        <is>
          <t>1. Close and reopen the app. 2. Open the request.</t>
        </is>
      </c>
      <c r="H62" s="5" t="inlineStr">
        <is>
          <t>Both emails are selected in the combo boxes and the popup rows show them; "+" buttons disabled.</t>
        </is>
      </c>
      <c r="I62" s="5" t="inlineStr">
        <is>
          <t>High</t>
        </is>
      </c>
      <c r="J62" s="6" t="inlineStr">
        <is>
          <t>Not run</t>
        </is>
      </c>
      <c r="K62" s="6" t="n"/>
      <c r="L62" s="7" t="n"/>
      <c r="M62" s="6" t="n"/>
    </row>
    <row r="63">
      <c r="A63" s="5" t="inlineStr">
        <is>
          <t>T062</t>
        </is>
      </c>
      <c r="B63" s="5" t="inlineStr">
        <is>
          <t>v36</t>
        </is>
      </c>
      <c r="C63" s="5" t="inlineStr">
        <is>
          <t>RequesDetailtScreen</t>
        </is>
      </c>
      <c r="D63" s="5" t="inlineStr">
        <is>
          <t>Removing a manual contact clears the column</t>
        </is>
      </c>
      <c r="E63" s="5" t="inlineStr">
        <is>
          <t>REQUESTOR</t>
        </is>
      </c>
      <c r="F63" s="5" t="inlineStr">
        <is>
          <t>Request with a manual Contractor email.</t>
        </is>
      </c>
      <c r="G63" s="5" t="inlineStr">
        <is>
          <t>1. Remove it from the Contractor box. 2. Draft Save.</t>
        </is>
      </c>
      <c r="H63" s="5" t="inlineStr">
        <is>
          <t>Manual_Contractor_Contact is blank.</t>
        </is>
      </c>
      <c r="I63" s="5" t="inlineStr">
        <is>
          <t>Medium</t>
        </is>
      </c>
      <c r="J63" s="6" t="inlineStr">
        <is>
          <t>Not run</t>
        </is>
      </c>
      <c r="K63" s="6" t="n"/>
      <c r="L63" s="7" t="n"/>
      <c r="M63" s="6" t="n"/>
    </row>
    <row r="64">
      <c r="A64" s="5" t="inlineStr">
        <is>
          <t>T063</t>
        </is>
      </c>
      <c r="B64" s="5" t="inlineStr">
        <is>
          <t>v36</t>
        </is>
      </c>
      <c r="C64" s="5" t="inlineStr">
        <is>
          <t>ReviewScreen</t>
        </is>
      </c>
      <c r="D64" s="5" t="inlineStr">
        <is>
          <t>Manual contacts visible to the reviewer</t>
        </is>
      </c>
      <c r="E64" s="5" t="inlineStr">
        <is>
          <t>ADMINISTRATOR</t>
        </is>
      </c>
      <c r="F64" s="5" t="inlineStr">
        <is>
          <t>Processing request with manual contacts only.</t>
        </is>
      </c>
      <c r="G64" s="5" t="inlineStr">
        <is>
          <t>1. Select it on ReviewScreen.</t>
        </is>
      </c>
      <c r="H64" s="5" t="inlineStr">
        <is>
          <t>The summary line shows the manual DG/Agency email; the Contractor field shows the manual Contractor email.</t>
        </is>
      </c>
      <c r="I64" s="5" t="inlineStr">
        <is>
          <t>Medium</t>
        </is>
      </c>
      <c r="J64" s="6" t="inlineStr">
        <is>
          <t>Not run</t>
        </is>
      </c>
      <c r="K64" s="6" t="n"/>
      <c r="L64" s="7" t="n"/>
      <c r="M64" s="6" t="n"/>
    </row>
    <row r="65">
      <c r="A65" s="5" t="inlineStr">
        <is>
          <t>T064</t>
        </is>
      </c>
      <c r="B65" s="5" t="inlineStr">
        <is>
          <t>v37</t>
        </is>
      </c>
      <c r="C65" s="5" t="inlineStr">
        <is>
          <t>ReviewScreen</t>
        </is>
      </c>
      <c r="D65" s="5" t="inlineStr">
        <is>
          <t>Internal Notes without HTML</t>
        </is>
      </c>
      <c r="E65" s="5" t="inlineStr">
        <is>
          <t>ADMINISTRATOR</t>
        </is>
      </c>
      <c r="F65" s="5" t="inlineStr">
        <is>
          <t>Media item whose Notes was edited with formatting in SharePoint.</t>
        </is>
      </c>
      <c r="G65" s="5" t="inlineStr">
        <is>
          <t>1. Select the request on ReviewScreen.</t>
        </is>
      </c>
      <c r="H65" s="5" t="inlineStr">
        <is>
          <t>Internal Notes shows plain text (no &lt;div&gt;, &lt;p&gt; …); save icon stays grey until you edit.</t>
        </is>
      </c>
      <c r="I65" s="5" t="inlineStr">
        <is>
          <t>High</t>
        </is>
      </c>
      <c r="J65" s="6" t="inlineStr">
        <is>
          <t>Not run</t>
        </is>
      </c>
      <c r="K65" s="6" t="n"/>
      <c r="L65" s="7" t="n"/>
      <c r="M65" s="6" t="n"/>
    </row>
    <row r="66">
      <c r="A66" s="5" t="inlineStr">
        <is>
          <t>T065</t>
        </is>
      </c>
      <c r="B66" s="5" t="inlineStr">
        <is>
          <t>v37</t>
        </is>
      </c>
      <c r="C66" s="5" t="inlineStr">
        <is>
          <t>ChildInfoScreen</t>
        </is>
      </c>
      <c r="D66" s="5" t="inlineStr">
        <is>
          <t>CI_Notes without HTML</t>
        </is>
      </c>
      <c r="E66" s="5" t="inlineStr">
        <is>
          <t>REQUESTOR</t>
        </is>
      </c>
      <c r="F66" s="5" t="inlineStr">
        <is>
          <t>Same media item.</t>
        </is>
      </c>
      <c r="G66" s="5" t="inlineStr">
        <is>
          <t>1. Open the media item (Info tab).</t>
        </is>
      </c>
      <c r="H66" s="5" t="inlineStr">
        <is>
          <t>Notes shows plain text.</t>
        </is>
      </c>
      <c r="I66" s="5" t="inlineStr">
        <is>
          <t>High</t>
        </is>
      </c>
      <c r="J66" s="6" t="inlineStr">
        <is>
          <t>Not run</t>
        </is>
      </c>
      <c r="K66" s="6" t="n"/>
      <c r="L66" s="7" t="n"/>
      <c r="M66" s="6" t="n"/>
    </row>
    <row r="67">
      <c r="A67" s="5" t="inlineStr">
        <is>
          <t>T066</t>
        </is>
      </c>
      <c r="B67" s="5" t="inlineStr">
        <is>
          <t>v37</t>
        </is>
      </c>
      <c r="C67" s="5" t="inlineStr">
        <is>
          <t>ChildMetaScreen</t>
        </is>
      </c>
      <c r="D67" s="5" t="inlineStr">
        <is>
          <t>CM_Caption without HTML</t>
        </is>
      </c>
      <c r="E67" s="5" t="inlineStr">
        <is>
          <t>REQUESTOR</t>
        </is>
      </c>
      <c r="F67" s="5" t="inlineStr">
        <is>
          <t>Photo media item whose PhotoCaption has formatting.</t>
        </is>
      </c>
      <c r="G67" s="5" t="inlineStr">
        <is>
          <t>1. Open the Metadata tab.</t>
        </is>
      </c>
      <c r="H67" s="5" t="inlineStr">
        <is>
          <t>Caption shows plain text.</t>
        </is>
      </c>
      <c r="I67" s="5" t="inlineStr">
        <is>
          <t>High</t>
        </is>
      </c>
      <c r="J67" s="6" t="inlineStr">
        <is>
          <t>Not run</t>
        </is>
      </c>
      <c r="K67" s="6" t="n"/>
      <c r="L67" s="7" t="n"/>
      <c r="M67" s="6" t="n"/>
    </row>
    <row r="68">
      <c r="A68" s="5" t="inlineStr">
        <is>
          <t>T067</t>
        </is>
      </c>
      <c r="B68" s="5" t="inlineStr">
        <is>
          <t>v37</t>
        </is>
      </c>
      <c r="C68" s="5" t="inlineStr">
        <is>
          <t>ChildInfoScreen</t>
        </is>
      </c>
      <c r="D68" s="5" t="inlineStr">
        <is>
          <t>Notes still saves</t>
        </is>
      </c>
      <c r="E68" s="5" t="inlineStr">
        <is>
          <t>REQUESTOR</t>
        </is>
      </c>
      <c r="F68" s="5" t="inlineStr">
        <is>
          <t>Processing request (requestor).</t>
        </is>
      </c>
      <c r="G68" s="5" t="inlineStr">
        <is>
          <t>1. Edit Notes and click elsewhere. 2. Reopen.</t>
        </is>
      </c>
      <c r="H68" s="5" t="inlineStr">
        <is>
          <t>The edited note is shown and saved in SharePoint.</t>
        </is>
      </c>
      <c r="I68" s="5" t="inlineStr">
        <is>
          <t>Medium</t>
        </is>
      </c>
      <c r="J68" s="6" t="inlineStr">
        <is>
          <t>Not run</t>
        </is>
      </c>
      <c r="K68" s="6" t="n"/>
      <c r="L68" s="7" t="n"/>
      <c r="M68" s="6" t="n"/>
    </row>
  </sheetData>
  <autoFilter ref="A1:M68"/>
  <conditionalFormatting sqref="J2:J6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2">
    <dataValidation sqref="J2:J68" showDropDown="0" showInputMessage="0" showErrorMessage="0" allowBlank="0" type="list">
      <formula1>"Not run,Pass,Fail,Blocked"</formula1>
    </dataValidation>
    <dataValidation sqref="L2:L68" showDropDown="0" showInputMessage="0" showErrorMessage="0" allowBlank="1" type="date" operator="greaterThan">
      <formula1>DATE(2026,1,1)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10" customWidth="1" min="5" max="5"/>
    <col width="10" customWidth="1" min="6" max="6"/>
    <col width="11" customWidth="1" min="7" max="7"/>
  </cols>
  <sheetData>
    <row r="1">
      <c r="A1" s="8" t="inlineStr">
        <is>
          <t>Version</t>
        </is>
      </c>
      <c r="B1" s="8" t="inlineStr">
        <is>
          <t>Scenarios</t>
        </is>
      </c>
      <c r="C1" s="8" t="inlineStr">
        <is>
          <t>Pass</t>
        </is>
      </c>
      <c r="D1" s="8" t="inlineStr">
        <is>
          <t>Fail</t>
        </is>
      </c>
      <c r="E1" s="8" t="inlineStr">
        <is>
          <t>Blocked</t>
        </is>
      </c>
      <c r="F1" s="8" t="inlineStr">
        <is>
          <t>Not run</t>
        </is>
      </c>
      <c r="G1" s="8" t="inlineStr">
        <is>
          <t>% passed</t>
        </is>
      </c>
    </row>
    <row r="2">
      <c r="A2" s="9" t="inlineStr">
        <is>
          <t>v30</t>
        </is>
      </c>
      <c r="B2" s="9">
        <f>COUNTIF('Test scenarios'!$B$2:$B$68,A2)</f>
        <v/>
      </c>
      <c r="C2" s="9">
        <f>COUNTIFS('Test scenarios'!$B$2:$B$68,$A2,'Test scenarios'!$J$2:$J$68,"Pass")</f>
        <v/>
      </c>
      <c r="D2" s="9">
        <f>COUNTIFS('Test scenarios'!$B$2:$B$68,$A2,'Test scenarios'!$J$2:$J$68,"Fail")</f>
        <v/>
      </c>
      <c r="E2" s="9">
        <f>COUNTIFS('Test scenarios'!$B$2:$B$68,$A2,'Test scenarios'!$J$2:$J$68,"Blocked")</f>
        <v/>
      </c>
      <c r="F2" s="9">
        <f>COUNTIFS('Test scenarios'!$B$2:$B$68,$A2,'Test scenarios'!$J$2:$J$68,"Not run")</f>
        <v/>
      </c>
      <c r="G2" s="10">
        <f>IF(B2=0,0,C2/B2)</f>
        <v/>
      </c>
    </row>
    <row r="3">
      <c r="A3" s="9" t="inlineStr">
        <is>
          <t>v30/v31</t>
        </is>
      </c>
      <c r="B3" s="9">
        <f>COUNTIF('Test scenarios'!$B$2:$B$68,A3)</f>
        <v/>
      </c>
      <c r="C3" s="9">
        <f>COUNTIFS('Test scenarios'!$B$2:$B$68,$A3,'Test scenarios'!$J$2:$J$68,"Pass")</f>
        <v/>
      </c>
      <c r="D3" s="9">
        <f>COUNTIFS('Test scenarios'!$B$2:$B$68,$A3,'Test scenarios'!$J$2:$J$68,"Fail")</f>
        <v/>
      </c>
      <c r="E3" s="9">
        <f>COUNTIFS('Test scenarios'!$B$2:$B$68,$A3,'Test scenarios'!$J$2:$J$68,"Blocked")</f>
        <v/>
      </c>
      <c r="F3" s="9">
        <f>COUNTIFS('Test scenarios'!$B$2:$B$68,$A3,'Test scenarios'!$J$2:$J$68,"Not run")</f>
        <v/>
      </c>
      <c r="G3" s="10">
        <f>IF(B3=0,0,C3/B3)</f>
        <v/>
      </c>
    </row>
    <row r="4">
      <c r="A4" s="9" t="inlineStr">
        <is>
          <t>v31</t>
        </is>
      </c>
      <c r="B4" s="9">
        <f>COUNTIF('Test scenarios'!$B$2:$B$68,A4)</f>
        <v/>
      </c>
      <c r="C4" s="9">
        <f>COUNTIFS('Test scenarios'!$B$2:$B$68,$A4,'Test scenarios'!$J$2:$J$68,"Pass")</f>
        <v/>
      </c>
      <c r="D4" s="9">
        <f>COUNTIFS('Test scenarios'!$B$2:$B$68,$A4,'Test scenarios'!$J$2:$J$68,"Fail")</f>
        <v/>
      </c>
      <c r="E4" s="9">
        <f>COUNTIFS('Test scenarios'!$B$2:$B$68,$A4,'Test scenarios'!$J$2:$J$68,"Blocked")</f>
        <v/>
      </c>
      <c r="F4" s="9">
        <f>COUNTIFS('Test scenarios'!$B$2:$B$68,$A4,'Test scenarios'!$J$2:$J$68,"Not run")</f>
        <v/>
      </c>
      <c r="G4" s="10">
        <f>IF(B4=0,0,C4/B4)</f>
        <v/>
      </c>
    </row>
    <row r="5">
      <c r="A5" s="9" t="inlineStr">
        <is>
          <t>v32</t>
        </is>
      </c>
      <c r="B5" s="9">
        <f>COUNTIF('Test scenarios'!$B$2:$B$68,A5)</f>
        <v/>
      </c>
      <c r="C5" s="9">
        <f>COUNTIFS('Test scenarios'!$B$2:$B$68,$A5,'Test scenarios'!$J$2:$J$68,"Pass")</f>
        <v/>
      </c>
      <c r="D5" s="9">
        <f>COUNTIFS('Test scenarios'!$B$2:$B$68,$A5,'Test scenarios'!$J$2:$J$68,"Fail")</f>
        <v/>
      </c>
      <c r="E5" s="9">
        <f>COUNTIFS('Test scenarios'!$B$2:$B$68,$A5,'Test scenarios'!$J$2:$J$68,"Blocked")</f>
        <v/>
      </c>
      <c r="F5" s="9">
        <f>COUNTIFS('Test scenarios'!$B$2:$B$68,$A5,'Test scenarios'!$J$2:$J$68,"Not run")</f>
        <v/>
      </c>
      <c r="G5" s="10">
        <f>IF(B5=0,0,C5/B5)</f>
        <v/>
      </c>
    </row>
    <row r="6">
      <c r="A6" s="9" t="inlineStr">
        <is>
          <t>v33</t>
        </is>
      </c>
      <c r="B6" s="9">
        <f>COUNTIF('Test scenarios'!$B$2:$B$68,A6)</f>
        <v/>
      </c>
      <c r="C6" s="9">
        <f>COUNTIFS('Test scenarios'!$B$2:$B$68,$A6,'Test scenarios'!$J$2:$J$68,"Pass")</f>
        <v/>
      </c>
      <c r="D6" s="9">
        <f>COUNTIFS('Test scenarios'!$B$2:$B$68,$A6,'Test scenarios'!$J$2:$J$68,"Fail")</f>
        <v/>
      </c>
      <c r="E6" s="9">
        <f>COUNTIFS('Test scenarios'!$B$2:$B$68,$A6,'Test scenarios'!$J$2:$J$68,"Blocked")</f>
        <v/>
      </c>
      <c r="F6" s="9">
        <f>COUNTIFS('Test scenarios'!$B$2:$B$68,$A6,'Test scenarios'!$J$2:$J$68,"Not run")</f>
        <v/>
      </c>
      <c r="G6" s="10">
        <f>IF(B6=0,0,C6/B6)</f>
        <v/>
      </c>
    </row>
    <row r="7">
      <c r="A7" s="9" t="inlineStr">
        <is>
          <t>v34</t>
        </is>
      </c>
      <c r="B7" s="9">
        <f>COUNTIF('Test scenarios'!$B$2:$B$68,A7)</f>
        <v/>
      </c>
      <c r="C7" s="9">
        <f>COUNTIFS('Test scenarios'!$B$2:$B$68,$A7,'Test scenarios'!$J$2:$J$68,"Pass")</f>
        <v/>
      </c>
      <c r="D7" s="9">
        <f>COUNTIFS('Test scenarios'!$B$2:$B$68,$A7,'Test scenarios'!$J$2:$J$68,"Fail")</f>
        <v/>
      </c>
      <c r="E7" s="9">
        <f>COUNTIFS('Test scenarios'!$B$2:$B$68,$A7,'Test scenarios'!$J$2:$J$68,"Blocked")</f>
        <v/>
      </c>
      <c r="F7" s="9">
        <f>COUNTIFS('Test scenarios'!$B$2:$B$68,$A7,'Test scenarios'!$J$2:$J$68,"Not run")</f>
        <v/>
      </c>
      <c r="G7" s="10">
        <f>IF(B7=0,0,C7/B7)</f>
        <v/>
      </c>
    </row>
    <row r="8">
      <c r="A8" s="9" t="inlineStr">
        <is>
          <t>v35</t>
        </is>
      </c>
      <c r="B8" s="9">
        <f>COUNTIF('Test scenarios'!$B$2:$B$68,A8)</f>
        <v/>
      </c>
      <c r="C8" s="9">
        <f>COUNTIFS('Test scenarios'!$B$2:$B$68,$A8,'Test scenarios'!$J$2:$J$68,"Pass")</f>
        <v/>
      </c>
      <c r="D8" s="9">
        <f>COUNTIFS('Test scenarios'!$B$2:$B$68,$A8,'Test scenarios'!$J$2:$J$68,"Fail")</f>
        <v/>
      </c>
      <c r="E8" s="9">
        <f>COUNTIFS('Test scenarios'!$B$2:$B$68,$A8,'Test scenarios'!$J$2:$J$68,"Blocked")</f>
        <v/>
      </c>
      <c r="F8" s="9">
        <f>COUNTIFS('Test scenarios'!$B$2:$B$68,$A8,'Test scenarios'!$J$2:$J$68,"Not run")</f>
        <v/>
      </c>
      <c r="G8" s="10">
        <f>IF(B8=0,0,C8/B8)</f>
        <v/>
      </c>
    </row>
    <row r="9">
      <c r="A9" s="9" t="inlineStr">
        <is>
          <t>v36</t>
        </is>
      </c>
      <c r="B9" s="9">
        <f>COUNTIF('Test scenarios'!$B$2:$B$68,A9)</f>
        <v/>
      </c>
      <c r="C9" s="9">
        <f>COUNTIFS('Test scenarios'!$B$2:$B$68,$A9,'Test scenarios'!$J$2:$J$68,"Pass")</f>
        <v/>
      </c>
      <c r="D9" s="9">
        <f>COUNTIFS('Test scenarios'!$B$2:$B$68,$A9,'Test scenarios'!$J$2:$J$68,"Fail")</f>
        <v/>
      </c>
      <c r="E9" s="9">
        <f>COUNTIFS('Test scenarios'!$B$2:$B$68,$A9,'Test scenarios'!$J$2:$J$68,"Blocked")</f>
        <v/>
      </c>
      <c r="F9" s="9">
        <f>COUNTIFS('Test scenarios'!$B$2:$B$68,$A9,'Test scenarios'!$J$2:$J$68,"Not run")</f>
        <v/>
      </c>
      <c r="G9" s="10">
        <f>IF(B9=0,0,C9/B9)</f>
        <v/>
      </c>
    </row>
    <row r="10">
      <c r="A10" s="9" t="inlineStr">
        <is>
          <t>v37</t>
        </is>
      </c>
      <c r="B10" s="9">
        <f>COUNTIF('Test scenarios'!$B$2:$B$68,A10)</f>
        <v/>
      </c>
      <c r="C10" s="9">
        <f>COUNTIFS('Test scenarios'!$B$2:$B$68,$A10,'Test scenarios'!$J$2:$J$68,"Pass")</f>
        <v/>
      </c>
      <c r="D10" s="9">
        <f>COUNTIFS('Test scenarios'!$B$2:$B$68,$A10,'Test scenarios'!$J$2:$J$68,"Fail")</f>
        <v/>
      </c>
      <c r="E10" s="9">
        <f>COUNTIFS('Test scenarios'!$B$2:$B$68,$A10,'Test scenarios'!$J$2:$J$68,"Blocked")</f>
        <v/>
      </c>
      <c r="F10" s="9">
        <f>COUNTIFS('Test scenarios'!$B$2:$B$68,$A10,'Test scenarios'!$J$2:$J$68,"Not run")</f>
        <v/>
      </c>
      <c r="G10" s="10">
        <f>IF(B10=0,0,C10/B10)</f>
        <v/>
      </c>
    </row>
    <row r="11">
      <c r="A11" s="11" t="inlineStr">
        <is>
          <t>Total</t>
        </is>
      </c>
      <c r="B11" s="11">
        <f>SUM(B2:B10)</f>
        <v/>
      </c>
      <c r="C11" s="11">
        <f>SUM(C2:C10)</f>
        <v/>
      </c>
      <c r="D11" s="11">
        <f>SUM(D2:D10)</f>
        <v/>
      </c>
      <c r="E11" s="11">
        <f>SUM(E2:E10)</f>
        <v/>
      </c>
      <c r="F11" s="11">
        <f>SUM(F2:F10)</f>
        <v/>
      </c>
      <c r="G11" s="12">
        <f>IF(B11=0,0,C11/B11)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40" customWidth="1" min="3" max="3"/>
  </cols>
  <sheetData>
    <row r="1">
      <c r="A1" s="8" t="inlineStr">
        <is>
          <t>Area</t>
        </is>
      </c>
      <c r="B1" s="8" t="inlineStr">
        <is>
          <t>Known gap (not a test failure)</t>
        </is>
      </c>
      <c r="C1" s="8" t="inlineStr">
        <is>
          <t>Next step</t>
        </is>
      </c>
    </row>
    <row r="2">
      <c r="A2" s="5" t="inlineStr">
        <is>
          <t>Print detail screens</t>
        </is>
      </c>
      <c r="B2" s="5" t="inlineStr">
        <is>
          <t>Notes are shown as raw HTML (same cause as v37).</t>
        </is>
      </c>
      <c r="C2" s="5" t="inlineStr">
        <is>
          <t>Ask to apply PlainText there too.</t>
        </is>
      </c>
    </row>
    <row r="3">
      <c r="A3" s="5" t="inlineStr">
        <is>
          <t>HomePrintScreen</t>
        </is>
      </c>
      <c r="B3" s="5" t="inlineStr">
        <is>
          <t>Rows are not clickable: HP_Gallery.OnSelect is missing from the exported file.</t>
        </is>
      </c>
      <c r="C3" s="5" t="inlineStr">
        <is>
          <t>One-line fix on request.</t>
        </is>
      </c>
    </row>
    <row r="4">
      <c r="A4" s="5" t="inlineStr">
        <is>
          <t>ChildInfoScreen / ChildMetaScreen</t>
        </is>
      </c>
      <c r="B4" s="5" t="inlineStr">
        <is>
          <t>CI_PodcastVisual and CM_EpisodeVisual still save attachments with Patch, which does not work for SharePoint attachments.</t>
        </is>
      </c>
      <c r="C4" s="5" t="inlineStr">
        <is>
          <t>Move them to a form like CL_FormAttach.</t>
        </is>
      </c>
    </row>
    <row r="5">
      <c r="A5" s="5" t="inlineStr">
        <is>
          <t>ReviewScreen</t>
        </is>
      </c>
      <c r="B5" s="5" t="inlineStr">
        <is>
          <t>Internal Notes use the same Notes column the requestor edits on the Info tab, so they are not private.</t>
        </is>
      </c>
      <c r="C5" s="5" t="inlineStr">
        <is>
          <t>Create an InternalNotes column if they must be admin-only.</t>
        </is>
      </c>
    </row>
    <row r="6">
      <c r="A6" s="5" t="inlineStr">
        <is>
          <t>RequesDetailtScreen</t>
        </is>
      </c>
      <c r="B6" s="5" t="inlineStr">
        <is>
          <t>Only Microsoft 365 users are stored in the Person columns; manual emails go to the Manual_* text columns.</t>
        </is>
      </c>
      <c r="C6" s="5" t="inlineStr">
        <is>
          <t>By design.</t>
        </is>
      </c>
    </row>
    <row r="7">
      <c r="A7" s="5" t="inlineStr">
        <is>
          <t>RequestManagementScreen</t>
        </is>
      </c>
      <c r="B7" s="5" t="inlineStr">
        <is>
          <t>The list loads once per session; it reloads after Draft Save / Submit / Resubmit or with ⟳ Reload. Other changes (e.g. admin approvals) need ⟳ Reload.</t>
        </is>
      </c>
      <c r="C7" s="5" t="inlineStr">
        <is>
          <t>By design (your choice in v31).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2026-09-23T08:49:00Z</dcterms:created>
  <dcterms:modified xsi:type="dcterms:W3CDTF">2026-09-23T08:49:00Z</dcterms:modified>
</cp:coreProperties>
</file>