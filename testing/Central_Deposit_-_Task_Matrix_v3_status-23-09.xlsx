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Phase 1" sheetId="2" state="visible" r:id="rId2"/>
    <sheet name="Phase 2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9E6"/>
      </patternFill>
    </fill>
    <fill>
      <patternFill patternType="solid">
        <fgColor rgb="FFFDE9C8"/>
        <bgColor rgb="FFFFEB9C"/>
      </patternFill>
    </fill>
    <fill>
      <patternFill patternType="solid">
        <fgColor rgb="FFCFE2F3"/>
        <bgColor rgb="FFD9EAD3"/>
      </patternFill>
    </fill>
    <fill>
      <patternFill patternType="solid">
        <fgColor rgb="FFFFFFCC"/>
        <bgColor rgb="FFFFF9E6"/>
      </patternFill>
    </fill>
    <fill>
      <patternFill patternType="solid">
        <fgColor rgb="FFFFEB9C"/>
        <bgColor rgb="FFFDE9C8"/>
      </patternFill>
    </fill>
    <fill>
      <patternFill patternType="solid">
        <fgColor rgb="FFFFF9E6"/>
        <bgColor rgb="FFFFFFFF"/>
      </patternFill>
    </fill>
    <fill>
      <patternFill patternType="solid">
        <fgColor rgb="FFF8CBCB"/>
        <bgColor rgb="FFD9D2E9"/>
      </patternFill>
    </fill>
    <fill>
      <patternFill patternType="solid">
        <fgColor rgb="FFD9EAD3"/>
        <bgColor rgb="FFE8E8E8"/>
      </patternFill>
    </fill>
    <fill>
      <patternFill patternType="solid">
        <fgColor rgb="FFD9D2E9"/>
        <bgColor rgb="FFCFE2F3"/>
      </patternFill>
    </fill>
    <fill>
      <patternFill patternType="solid">
        <fgColor rgb="FFE8E8E8"/>
        <bgColor rgb="FFF2F2F2"/>
      </patternFill>
    </fill>
    <fill>
      <patternFill patternType="solid">
        <fgColor rgb="FFC6EFCE"/>
        <b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164" fontId="7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/>
    </xf>
    <xf numFmtId="0" fontId="7" fillId="10" borderId="1" applyAlignment="1" pivotButton="0" quotePrefix="0" xfId="0">
      <alignment horizontal="center" vertical="top"/>
    </xf>
    <xf numFmtId="0" fontId="7" fillId="11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164" fontId="7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/>
    </xf>
    <xf numFmtId="0" fontId="7" fillId="10" borderId="1" applyAlignment="1" pivotButton="0" quotePrefix="0" xfId="0">
      <alignment horizontal="center" vertical="top"/>
    </xf>
    <xf numFmtId="0" fontId="7" fillId="11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DE9C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9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E8E8E8"/>
      <rgbColor rgb="FFFDE9C8"/>
      <rgbColor rgb="FFF2F2F2"/>
      <rgbColor rgb="FFF8CB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_Phase1" displayName="tbl_Phase1" ref="A4:J40" headerRowCount="1" totalsRowCount="0" totalsRowShown="0">
  <autoFilter ref="A4:J40"/>
  <tableColumns count="10">
    <tableColumn id="1" name="ID"/>
    <tableColumn id="2" name="Category"/>
    <tableColumn id="3" name="Task / Requirement"/>
    <tableColumn id="4" name="Priority"/>
    <tableColumn id="5" name="Status"/>
    <tableColumn id="6" name="Depends On"/>
    <tableColumn id="7" name="Deliverable Date"/>
    <tableColumn id="8" name="Source"/>
    <tableColumn id="9" name="Change in v3"/>
    <tableColumn id="10" name="Notes"/>
  </tableColumns>
</table>
</file>

<file path=xl/tables/table2.xml><?xml version="1.0" encoding="utf-8"?>
<table xmlns="http://schemas.openxmlformats.org/spreadsheetml/2006/main" id="2" name="tbl_Phase2" displayName="tbl_Phase2" ref="A4:J10" headerRowCount="1" totalsRowCount="0" totalsRowShown="0">
  <autoFilter ref="A4:J10"/>
  <tableColumns count="10">
    <tableColumn id="1" name="ID"/>
    <tableColumn id="2" name="Category"/>
    <tableColumn id="3" name="Task / Requirement"/>
    <tableColumn id="4" name="Priority"/>
    <tableColumn id="5" name="Status"/>
    <tableColumn id="6" name="Depends On"/>
    <tableColumn id="7" name="Deliverable Date"/>
    <tableColumn id="8" name="Source"/>
    <tableColumn id="9" name="Change in v3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1"/>
    <col width="12" customWidth="1" style="28" min="2" max="4"/>
  </cols>
  <sheetData>
    <row r="1" ht="17.35" customHeight="1" s="29">
      <c r="A1" s="30" t="inlineStr">
        <is>
          <t>Central Deposit: Task Matrix Summary (v3)</t>
        </is>
      </c>
    </row>
    <row r="2" ht="15" customHeight="1" s="29">
      <c r="A2" s="31" t="inlineStr">
        <is>
          <t>Counts update automatically from the Phase 1 and Phase 2 sheets.</t>
        </is>
      </c>
    </row>
    <row r="4" ht="15" customHeight="1" s="29">
      <c r="A4" s="32" t="inlineStr">
        <is>
          <t>Status</t>
        </is>
      </c>
      <c r="B4" s="33" t="inlineStr">
        <is>
          <t>Phase 1</t>
        </is>
      </c>
      <c r="C4" s="33" t="inlineStr">
        <is>
          <t>Phase 2</t>
        </is>
      </c>
      <c r="D4" s="33" t="inlineStr">
        <is>
          <t>Total</t>
        </is>
      </c>
    </row>
    <row r="5" ht="15" customHeight="1" s="29">
      <c r="A5" s="34" t="inlineStr">
        <is>
          <t>Not Started</t>
        </is>
      </c>
      <c r="B5" s="35">
        <f>COUNTIF('Phase 1'!$E$5:$E$40,A5)</f>
        <v/>
      </c>
      <c r="C5" s="35">
        <f>COUNTIF('Phase 2'!$E$5:$E$10,A5)</f>
        <v/>
      </c>
      <c r="D5" s="36">
        <f>B5+C5</f>
        <v/>
      </c>
    </row>
    <row r="6" ht="15" customHeight="1" s="29">
      <c r="A6" s="34" t="inlineStr">
        <is>
          <t>Ready for Dev</t>
        </is>
      </c>
      <c r="B6" s="35">
        <f>COUNTIF('Phase 1'!$E$5:$E$40,A6)</f>
        <v/>
      </c>
      <c r="C6" s="35">
        <f>COUNTIF('Phase 2'!$E$5:$E$10,A6)</f>
        <v/>
      </c>
      <c r="D6" s="36">
        <f>B6+C6</f>
        <v/>
      </c>
    </row>
    <row r="7" ht="15" customHeight="1" s="29">
      <c r="A7" s="34" t="inlineStr">
        <is>
          <t>Open Question</t>
        </is>
      </c>
      <c r="B7" s="35">
        <f>COUNTIF('Phase 1'!$E$5:$E$40,A7)</f>
        <v/>
      </c>
      <c r="C7" s="35">
        <f>COUNTIF('Phase 2'!$E$5:$E$10,A7)</f>
        <v/>
      </c>
      <c r="D7" s="36">
        <f>B7+C7</f>
        <v/>
      </c>
    </row>
    <row r="8" ht="15" customHeight="1" s="29">
      <c r="A8" s="34" t="inlineStr">
        <is>
          <t>Not Scoped</t>
        </is>
      </c>
      <c r="B8" s="35">
        <f>COUNTIF('Phase 1'!$E$5:$E$40,A8)</f>
        <v/>
      </c>
      <c r="C8" s="35">
        <f>COUNTIF('Phase 2'!$E$5:$E$10,A8)</f>
        <v/>
      </c>
      <c r="D8" s="36">
        <f>B8+C8</f>
        <v/>
      </c>
    </row>
    <row r="9" ht="15" customHeight="1" s="29">
      <c r="A9" s="34" t="inlineStr">
        <is>
          <t>Confirmed Phase 2</t>
        </is>
      </c>
      <c r="B9" s="35">
        <f>COUNTIF('Phase 1'!$E$5:$E$40,A9)</f>
        <v/>
      </c>
      <c r="C9" s="35">
        <f>COUNTIF('Phase 2'!$E$5:$E$10,A9)</f>
        <v/>
      </c>
      <c r="D9" s="36">
        <f>B9+C9</f>
        <v/>
      </c>
    </row>
    <row r="10" ht="15" customHeight="1" s="29">
      <c r="A10" s="34" t="inlineStr">
        <is>
          <t>Done</t>
        </is>
      </c>
      <c r="B10" s="35">
        <f>COUNTIF('Phase 1'!$E$5:$E$40,A10)</f>
        <v/>
      </c>
      <c r="C10" s="35">
        <f>COUNTIF('Phase 2'!$E$5:$E$10,A10)</f>
        <v/>
      </c>
      <c r="D10" s="36">
        <f>B10+C10</f>
        <v/>
      </c>
    </row>
    <row r="11" ht="15" customHeight="1" s="29">
      <c r="A11" s="37" t="inlineStr">
        <is>
          <t>Total</t>
        </is>
      </c>
      <c r="B11" s="38">
        <f>SUM(B5:B10)</f>
        <v/>
      </c>
      <c r="C11" s="38">
        <f>SUM(C5:C10)</f>
        <v/>
      </c>
      <c r="D11" s="38">
        <f>SUM(D5:D10)</f>
        <v/>
      </c>
    </row>
    <row r="13" ht="15" customHeight="1" s="29">
      <c r="A13" s="32" t="inlineStr">
        <is>
          <t>Priority</t>
        </is>
      </c>
      <c r="B13" s="33" t="inlineStr">
        <is>
          <t>Phase 1</t>
        </is>
      </c>
      <c r="C13" s="33" t="inlineStr">
        <is>
          <t>Phase 2</t>
        </is>
      </c>
      <c r="D13" s="33" t="inlineStr">
        <is>
          <t>Total</t>
        </is>
      </c>
    </row>
    <row r="14" ht="15" customHeight="1" s="29">
      <c r="A14" s="34" t="inlineStr">
        <is>
          <t>High</t>
        </is>
      </c>
      <c r="B14" s="35">
        <f>COUNTIF('Phase 1'!$D$5:$D$40,A14)</f>
        <v/>
      </c>
      <c r="C14" s="35">
        <f>COUNTIF('Phase 2'!$D$5:$D$10,A14)</f>
        <v/>
      </c>
      <c r="D14" s="36">
        <f>B14+C14</f>
        <v/>
      </c>
    </row>
    <row r="15" ht="15" customHeight="1" s="29">
      <c r="A15" s="34" t="inlineStr">
        <is>
          <t>Medium</t>
        </is>
      </c>
      <c r="B15" s="35">
        <f>COUNTIF('Phase 1'!$D$5:$D$40,A15)</f>
        <v/>
      </c>
      <c r="C15" s="35">
        <f>COUNTIF('Phase 2'!$D$5:$D$10,A15)</f>
        <v/>
      </c>
      <c r="D15" s="36">
        <f>B15+C15</f>
        <v/>
      </c>
    </row>
    <row r="16" ht="15" customHeight="1" s="29">
      <c r="A16" s="34" t="inlineStr">
        <is>
          <t>Low</t>
        </is>
      </c>
      <c r="B16" s="35">
        <f>COUNTIF('Phase 1'!$D$5:$D$40,A16)</f>
        <v/>
      </c>
      <c r="C16" s="35">
        <f>COUNTIF('Phase 2'!$D$5:$D$10,A16)</f>
        <v/>
      </c>
      <c r="D16" s="36">
        <f>B16+C16</f>
        <v/>
      </c>
    </row>
    <row r="17" ht="15" customHeight="1" s="29">
      <c r="A17" s="37" t="inlineStr">
        <is>
          <t>Total</t>
        </is>
      </c>
      <c r="B17" s="38">
        <f>SUM(B14:B16)</f>
        <v/>
      </c>
      <c r="C17" s="38">
        <f>SUM(C14:C16)</f>
        <v/>
      </c>
      <c r="D17" s="38">
        <f>SUM(D14:D16)</f>
        <v/>
      </c>
    </row>
    <row r="19" ht="15" customHeight="1" s="29">
      <c r="A19" s="32" t="inlineStr">
        <is>
          <t>Change in v3</t>
        </is>
      </c>
      <c r="B19" s="33" t="inlineStr">
        <is>
          <t>Phase 1</t>
        </is>
      </c>
      <c r="C19" s="33" t="inlineStr">
        <is>
          <t>Phase 2</t>
        </is>
      </c>
      <c r="D19" s="33" t="inlineStr">
        <is>
          <t>Total</t>
        </is>
      </c>
    </row>
    <row r="20" ht="15" customHeight="1" s="29">
      <c r="A20" s="34" t="inlineStr">
        <is>
          <t>New</t>
        </is>
      </c>
      <c r="B20" s="35">
        <f>COUNTIF('Phase 1'!$I$5:$I$40,A20)</f>
        <v/>
      </c>
      <c r="C20" s="35">
        <f>COUNTIF('Phase 2'!$I$5:$I$10,A20)</f>
        <v/>
      </c>
      <c r="D20" s="36">
        <f>B20+C20</f>
        <v/>
      </c>
    </row>
    <row r="21" ht="15" customHeight="1" s="29">
      <c r="A21" s="34" t="inlineStr">
        <is>
          <t>Updated</t>
        </is>
      </c>
      <c r="B21" s="35">
        <f>COUNTIF('Phase 1'!$I$5:$I$40,A21)</f>
        <v/>
      </c>
      <c r="C21" s="35">
        <f>COUNTIF('Phase 2'!$I$5:$I$10,A21)</f>
        <v/>
      </c>
      <c r="D21" s="36">
        <f>B21+C21</f>
        <v/>
      </c>
    </row>
    <row r="22" ht="15" customHeight="1" s="29">
      <c r="A22" s="37" t="inlineStr">
        <is>
          <t>Total</t>
        </is>
      </c>
      <c r="B22" s="38">
        <f>SUM(B20:B21)</f>
        <v/>
      </c>
      <c r="C22" s="38">
        <f>SUM(C20:C21)</f>
        <v/>
      </c>
      <c r="D22" s="38">
        <f>SUM(D20:D21)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20" customWidth="1" style="28" min="2" max="2"/>
    <col width="54" customWidth="1" style="28" min="3" max="3"/>
    <col width="10" customWidth="1" style="28" min="4" max="4"/>
    <col width="16" customWidth="1" style="28" min="5" max="5"/>
    <col width="12" customWidth="1" style="28" min="6" max="6"/>
    <col width="14" customWidth="1" style="28" min="7" max="7"/>
    <col width="28" customWidth="1" style="28" min="8" max="8"/>
    <col width="14" customWidth="1" style="28" min="9" max="9"/>
    <col width="52" customWidth="1" style="28" min="10" max="10"/>
    <col width="46" customWidth="1" style="29" min="11" max="11"/>
    <col width="46" customWidth="1" style="29" min="12" max="12"/>
  </cols>
  <sheetData>
    <row r="1" ht="21.75" customHeight="1" s="29">
      <c r="A1" s="30" t="inlineStr">
        <is>
          <t>Central Deposit: Task Matrix, Phase 1 (v3)</t>
        </is>
      </c>
    </row>
    <row r="2" ht="30" customHeight="1" s="29">
      <c r="A2" s="39" t="inlineStr">
        <is>
          <t>Core request management, workflow, notes, Beluga reference, podcast publication and approval. v3 adds the 23/09 requirements review. Fill in the yellow Deliverable Date cells. Columns K and L (23/09): what the app delivers today (version) and what is still missing.</t>
        </is>
      </c>
    </row>
    <row r="4" ht="27.75" customHeight="1" s="29">
      <c r="A4" s="40" t="inlineStr">
        <is>
          <t>ID</t>
        </is>
      </c>
      <c r="B4" s="40" t="inlineStr">
        <is>
          <t>Category</t>
        </is>
      </c>
      <c r="C4" s="40" t="inlineStr">
        <is>
          <t>Task / Requirement</t>
        </is>
      </c>
      <c r="D4" s="40" t="inlineStr">
        <is>
          <t>Priority</t>
        </is>
      </c>
      <c r="E4" s="40" t="inlineStr">
        <is>
          <t>Status</t>
        </is>
      </c>
      <c r="F4" s="40" t="inlineStr">
        <is>
          <t>Depends On</t>
        </is>
      </c>
      <c r="G4" s="40" t="inlineStr">
        <is>
          <t>Deliverable Date</t>
        </is>
      </c>
      <c r="H4" s="40" t="inlineStr">
        <is>
          <t>Source</t>
        </is>
      </c>
      <c r="I4" s="40" t="inlineStr">
        <is>
          <t>Change in v3</t>
        </is>
      </c>
      <c r="J4" s="40" t="inlineStr">
        <is>
          <t>Notes</t>
        </is>
      </c>
      <c r="K4" s="40" t="inlineStr">
        <is>
          <t>Built in app (version)</t>
        </is>
      </c>
      <c r="L4" s="40" t="inlineStr">
        <is>
          <t>What is missing</t>
        </is>
      </c>
    </row>
    <row r="5" s="29">
      <c r="A5" s="41" t="inlineStr">
        <is>
          <t>P1-01</t>
        </is>
      </c>
      <c r="B5" s="42" t="inlineStr">
        <is>
          <t>Requestor Communication</t>
        </is>
      </c>
      <c r="C5" s="42" t="inlineStr">
        <is>
          <t>Add an editable requestor notes field usable during the review process. Notify the admin whenever the requestor adds a new comment. Include a hint explaining what the field is for.</t>
        </is>
      </c>
      <c r="D5" s="43" t="inlineStr">
        <is>
          <t>Medium</t>
        </is>
      </c>
      <c r="E5" s="44" t="inlineStr">
        <is>
          <t>Ready for Dev</t>
        </is>
      </c>
      <c r="F5" s="45" t="n"/>
      <c r="G5" s="46" t="n"/>
      <c r="H5" s="42" t="inlineStr">
        <is>
          <t>Unhappy Path Doc, Q1</t>
        </is>
      </c>
      <c r="I5" s="47" t="inlineStr">
        <is>
          <t>Updated</t>
        </is>
      </c>
      <c r="J5" s="48" t="inlineStr">
        <is>
          <t>IT confirmed it, including the hint. v3: overlaps with the request level notes in P1-27 (admin field, email alert, Last updated on). Best built together as one piece of work.</t>
        </is>
      </c>
      <c r="K5" s="42" t="inlineStr">
        <is>
          <t>v20/v23: per-media-file Notes (CI_Notes, Info tab) with hint "Anything Central Deposit should know about this media file". Stays editable for the requestor while Processing and saves by itself.</t>
        </is>
      </c>
      <c r="L5" s="42" t="inlineStr">
        <is>
          <t>A request-level requestor notes field (build with P1-27). Notification to the admin when the requestor adds a comment.</t>
        </is>
      </c>
    </row>
    <row r="6" s="29">
      <c r="A6" s="41" t="inlineStr">
        <is>
          <t>P1-02</t>
        </is>
      </c>
      <c r="B6" s="42" t="inlineStr">
        <is>
          <t>Notifications</t>
        </is>
      </c>
      <c r="C6" s="42" t="inlineStr">
        <is>
          <t>Automatic cancellation of stale requests: cancel after 3 months in the cycle, with a reminder sent every month until then.</t>
        </is>
      </c>
      <c r="D6" s="49" t="inlineStr">
        <is>
          <t>High</t>
        </is>
      </c>
      <c r="E6" s="44" t="inlineStr">
        <is>
          <t>Ready for Dev</t>
        </is>
      </c>
      <c r="F6" s="45" t="n"/>
      <c r="G6" s="46" t="n"/>
      <c r="H6" s="42" t="inlineStr">
        <is>
          <t>Unhappy Path Doc, Q2</t>
        </is>
      </c>
      <c r="I6" s="41" t="n"/>
      <c r="J6" s="48" t="inlineStr">
        <is>
          <t>IT confirmed.</t>
        </is>
      </c>
      <c r="K6" s="42" t="inlineStr">
        <is>
          <t>—</t>
        </is>
      </c>
      <c r="L6" s="42" t="inlineStr">
        <is>
          <t>Not built in the app. Needs a scheduled Power Automate flow (cancel after 3 months, monthly reminder).</t>
        </is>
      </c>
    </row>
    <row r="7" s="29">
      <c r="A7" s="41" t="inlineStr">
        <is>
          <t>P1-03</t>
        </is>
      </c>
      <c r="B7" s="42" t="inlineStr">
        <is>
          <t>Sorting / Display</t>
        </is>
      </c>
      <c r="C7" s="42" t="inlineStr">
        <is>
          <t>Sort pending requests by publication date (soonest first) and by creation date (oldest first). Confirm the publication date field exists.</t>
        </is>
      </c>
      <c r="D7" s="50" t="inlineStr">
        <is>
          <t>Low</t>
        </is>
      </c>
      <c r="E7" s="51" t="inlineStr">
        <is>
          <t>Open Question</t>
        </is>
      </c>
      <c r="F7" s="45" t="n"/>
      <c r="G7" s="46" t="n"/>
      <c r="H7" s="42" t="inlineStr">
        <is>
          <t>Unhappy Path Doc, Q2</t>
        </is>
      </c>
      <c r="I7" s="41" t="n"/>
      <c r="J7" s="48" t="inlineStr">
        <is>
          <t>Still open: IT repeated the question instead of answering it.</t>
        </is>
      </c>
      <c r="K7" s="42" t="inlineStr">
        <is>
          <t>Request Management sorts by Created (newest first); the ReviewScreen queue by Modified.</t>
        </is>
      </c>
      <c r="L7" s="42" t="inlineStr">
        <is>
          <t>Decision still open. Pick the date: the requests list has PublishedDate, StartRequestDate and EndRequestDate; media files have PublicationStartDate.</t>
        </is>
      </c>
    </row>
    <row r="8" s="29">
      <c r="A8" s="41" t="inlineStr">
        <is>
          <t>P1-04</t>
        </is>
      </c>
      <c r="B8" s="42" t="inlineStr">
        <is>
          <t>Notifications</t>
        </is>
      </c>
      <c r="C8" s="42" t="inlineStr">
        <is>
          <t>Send a notification whenever an admin reopens (un-approves) a Published request.</t>
        </is>
      </c>
      <c r="D8" s="43" t="inlineStr">
        <is>
          <t>Medium</t>
        </is>
      </c>
      <c r="E8" s="52" t="inlineStr">
        <is>
          <t>Not Started</t>
        </is>
      </c>
      <c r="F8" s="45" t="n"/>
      <c r="G8" s="46" t="n"/>
      <c r="H8" s="42" t="inlineStr">
        <is>
          <t>Unhappy Path Doc, Q4</t>
        </is>
      </c>
      <c r="I8" s="41" t="n"/>
      <c r="J8" s="53" t="n"/>
      <c r="K8" s="42" t="inlineStr">
        <is>
          <t>v11: Published status retired (RS_BtnPublish hidden).</t>
        </is>
      </c>
      <c r="L8" s="42" t="inlineStr">
        <is>
          <t>Decide whether this still applies now Published is retired. Notification not built.</t>
        </is>
      </c>
    </row>
    <row r="9" s="29">
      <c r="A9" s="41" t="inlineStr">
        <is>
          <t>P1-06</t>
        </is>
      </c>
      <c r="B9" s="42" t="inlineStr">
        <is>
          <t>Status Workflow</t>
        </is>
      </c>
      <c r="C9" s="42" t="inlineStr">
        <is>
          <t>Define the final status list: new Under Review status after submission, and whether Pending becomes Attention Required (or Rejected becomes Incomplete).</t>
        </is>
      </c>
      <c r="D9" s="49" t="inlineStr">
        <is>
          <t>High</t>
        </is>
      </c>
      <c r="E9" s="51" t="inlineStr">
        <is>
          <t>Open Question</t>
        </is>
      </c>
      <c r="F9" s="45" t="n"/>
      <c r="G9" s="46" t="n"/>
      <c r="H9" s="42" t="inlineStr">
        <is>
          <t>Unhappy Path Doc, Q7</t>
        </is>
      </c>
      <c r="I9" s="47" t="inlineStr">
        <is>
          <t>Updated</t>
        </is>
      </c>
      <c r="J9" s="48" t="inlineStr">
        <is>
          <t>IT marked this TBD. v3: the 23/09 review adds a Partially approved outcome (P1-35) and talks about requests being approved (P1-32), while the current revision dropped Approved in favour of Processing. Settle the full status list in one decision, since P1-32 and P1-35 depend on it.</t>
        </is>
      </c>
      <c r="K9" s="42" t="inlineStr">
        <is>
          <t>v11: Draft → Processing (acts as Under Review) → Approved / Rejected / Pending. Pending = Need info, requestor resubmits. Published retired. v44: Reject writes Rejected, Need info writes Pending.</t>
        </is>
      </c>
      <c r="L9" s="42" t="inlineStr">
        <is>
          <t>Final naming (Under Review vs Processing, Attention Required vs Pending) and a Partially approved status (P1-35).</t>
        </is>
      </c>
    </row>
    <row r="10" s="29">
      <c r="A10" s="41" t="inlineStr">
        <is>
          <t>P1-07</t>
        </is>
      </c>
      <c r="B10" s="42" t="inlineStr">
        <is>
          <t>Notifications</t>
        </is>
      </c>
      <c r="C10" s="42" t="inlineStr">
        <is>
          <t>Notify the admin when a request stays in Under Review for more than 1 week.</t>
        </is>
      </c>
      <c r="D10" s="43" t="inlineStr">
        <is>
          <t>Medium</t>
        </is>
      </c>
      <c r="E10" s="52" t="inlineStr">
        <is>
          <t>Not Started</t>
        </is>
      </c>
      <c r="F10" s="45" t="inlineStr">
        <is>
          <t>P1-06</t>
        </is>
      </c>
      <c r="G10" s="46" t="n"/>
      <c r="H10" s="42" t="inlineStr">
        <is>
          <t>Unhappy Path Doc, Q7</t>
        </is>
      </c>
      <c r="I10" s="41" t="n"/>
      <c r="J10" s="53" t="n"/>
      <c r="K10" s="42" t="inlineStr">
        <is>
          <t>—</t>
        </is>
      </c>
      <c r="L10" s="42" t="inlineStr">
        <is>
          <t>Not built in the app. Needs a flow on Processing requests older than 7 days.</t>
        </is>
      </c>
    </row>
    <row r="11" s="29">
      <c r="A11" s="41" t="inlineStr">
        <is>
          <t>P1-08</t>
        </is>
      </c>
      <c r="B11" s="42" t="inlineStr">
        <is>
          <t>Workflow</t>
        </is>
      </c>
      <c r="C11" s="42" t="inlineStr">
        <is>
          <t>Allow the requestor to cancel or re-route a request stuck in review for more than 1 week.</t>
        </is>
      </c>
      <c r="D11" s="43" t="inlineStr">
        <is>
          <t>Medium</t>
        </is>
      </c>
      <c r="E11" s="52" t="inlineStr">
        <is>
          <t>Not Started</t>
        </is>
      </c>
      <c r="F11" s="45" t="inlineStr">
        <is>
          <t>P1-06</t>
        </is>
      </c>
      <c r="G11" s="46" t="n"/>
      <c r="H11" s="42" t="inlineStr">
        <is>
          <t>Unhappy Path Doc, Q7</t>
        </is>
      </c>
      <c r="I11" s="41" t="n"/>
      <c r="J11" s="53" t="n"/>
      <c r="K11" s="42" t="inlineStr">
        <is>
          <t>—</t>
        </is>
      </c>
      <c r="L11" s="42" t="inlineStr">
        <is>
          <t>Not built in the app.</t>
        </is>
      </c>
    </row>
    <row r="12" s="29">
      <c r="A12" s="41" t="inlineStr">
        <is>
          <t>P1-09</t>
        </is>
      </c>
      <c r="B12" s="42" t="inlineStr">
        <is>
          <t>Assignee / Hand-off</t>
        </is>
      </c>
      <c r="C12" s="42" t="inlineStr">
        <is>
          <t>Support assignee hand-off between admins and notify the newly assigned admin.</t>
        </is>
      </c>
      <c r="D12" s="43" t="inlineStr">
        <is>
          <t>Medium</t>
        </is>
      </c>
      <c r="E12" s="51" t="inlineStr">
        <is>
          <t>Open Question</t>
        </is>
      </c>
      <c r="F12" s="45" t="n"/>
      <c r="G12" s="46" t="n"/>
      <c r="H12" s="42" t="inlineStr">
        <is>
          <t>Unhappy Path Doc, Q7</t>
        </is>
      </c>
      <c r="I12" s="41" t="n"/>
      <c r="J12" s="48" t="inlineStr">
        <is>
          <t>IT answered with a question ("Right?"), needs a clear yes.</t>
        </is>
      </c>
      <c r="K12" s="42" t="inlineStr">
        <is>
          <t>ReviewScreen assignee picker (RV_Assignee); approver / co-assignee saved on Approve. Assignee shown and filterable on Request Management.</t>
        </is>
      </c>
      <c r="L12" s="42" t="inlineStr">
        <is>
          <t>Hand-off at any time (not only on Approve) and a notification to the newly assigned admin.</t>
        </is>
      </c>
    </row>
    <row r="13" s="29">
      <c r="A13" s="41" t="inlineStr">
        <is>
          <t>P1-10</t>
        </is>
      </c>
      <c r="B13" s="42" t="inlineStr">
        <is>
          <t>Automation</t>
        </is>
      </c>
      <c r="C13" s="42" t="inlineStr">
        <is>
          <t>Auto-delete drafts left untouched for 1 week.</t>
        </is>
      </c>
      <c r="D13" s="43" t="inlineStr">
        <is>
          <t>Medium</t>
        </is>
      </c>
      <c r="E13" s="44" t="inlineStr">
        <is>
          <t>Ready for Dev</t>
        </is>
      </c>
      <c r="F13" s="45" t="n"/>
      <c r="G13" s="46" t="n"/>
      <c r="H13" s="42" t="inlineStr">
        <is>
          <t>Unhappy Path Doc, Q8</t>
        </is>
      </c>
      <c r="I13" s="41" t="n"/>
      <c r="J13" s="48" t="inlineStr">
        <is>
          <t>Confirmed twice by IT.</t>
        </is>
      </c>
      <c r="K13" s="42" t="inlineStr">
        <is>
          <t>—</t>
        </is>
      </c>
      <c r="L13" s="42" t="inlineStr">
        <is>
          <t>Not built in the app. Needs a scheduled flow.</t>
        </is>
      </c>
    </row>
    <row r="14" s="29">
      <c r="A14" s="41" t="inlineStr">
        <is>
          <t>P1-11</t>
        </is>
      </c>
      <c r="B14" s="42" t="inlineStr">
        <is>
          <t>Validation</t>
        </is>
      </c>
      <c r="C14" s="42" t="inlineStr">
        <is>
          <t>Block the Draft to Under Review transition when mandatory fields are empty.</t>
        </is>
      </c>
      <c r="D14" s="49" t="inlineStr">
        <is>
          <t>High</t>
        </is>
      </c>
      <c r="E14" s="54" t="inlineStr">
        <is>
          <t>Done</t>
        </is>
      </c>
      <c r="F14" s="45" t="n"/>
      <c r="G14" s="46" t="n"/>
      <c r="H14" s="42" t="inlineStr">
        <is>
          <t>Unhappy Path Doc, Q11</t>
        </is>
      </c>
      <c r="I14" s="41" t="n"/>
      <c r="J14" s="53" t="n"/>
      <c r="K14" s="42" t="inlineStr">
        <is>
          <t>v12: Submit / Resubmit stay disabled until title, DG, both contacts and valid media are complete. v35: fixed the values they read.</t>
        </is>
      </c>
      <c r="L14" s="42" t="inlineStr">
        <is>
          <t>—</t>
        </is>
      </c>
    </row>
    <row r="15" s="29">
      <c r="A15" s="41" t="inlineStr">
        <is>
          <t>P1-12</t>
        </is>
      </c>
      <c r="B15" s="42" t="inlineStr">
        <is>
          <t>Validation / UX</t>
        </is>
      </c>
      <c r="C15" s="42" t="inlineStr">
        <is>
          <t>Show a message listing which required fields or attachments are missing.</t>
        </is>
      </c>
      <c r="D15" s="43" t="inlineStr">
        <is>
          <t>Medium</t>
        </is>
      </c>
      <c r="E15" s="54" t="inlineStr">
        <is>
          <t>Done</t>
        </is>
      </c>
      <c r="F15" s="45" t="n"/>
      <c r="G15" s="46" t="n"/>
      <c r="H15" s="42" t="inlineStr">
        <is>
          <t>Unhappy Path Doc, Q12</t>
        </is>
      </c>
      <c r="I15" s="41" t="n"/>
      <c r="J15" s="48" t="inlineStr">
        <is>
          <t>IT says it already works this way. Quick check before closing.</t>
        </is>
      </c>
      <c r="K15" s="42" t="inlineStr">
        <is>
          <t>RS_LblMissing ("Still to complete") on the request, CL_LblMissing on the Legal tab, and the checklist on the Validations tab.</t>
        </is>
      </c>
      <c r="L15" s="42" t="inlineStr">
        <is>
          <t>—</t>
        </is>
      </c>
    </row>
    <row r="16" s="29">
      <c r="A16" s="41" t="inlineStr">
        <is>
          <t>P1-13</t>
        </is>
      </c>
      <c r="B16" s="42" t="inlineStr">
        <is>
          <t>Notifications</t>
        </is>
      </c>
      <c r="C16" s="42" t="inlineStr">
        <is>
          <t>Notify the requestor whenever their request status changes.</t>
        </is>
      </c>
      <c r="D16" s="49" t="inlineStr">
        <is>
          <t>High</t>
        </is>
      </c>
      <c r="E16" s="54" t="inlineStr">
        <is>
          <t>Done</t>
        </is>
      </c>
      <c r="F16" s="45" t="n"/>
      <c r="G16" s="46" t="n"/>
      <c r="H16" s="42" t="inlineStr">
        <is>
          <t>Unhappy Path Doc, Business Questions</t>
        </is>
      </c>
      <c r="I16" s="41" t="n"/>
      <c r="J16" s="48" t="inlineStr">
        <is>
          <t>Already working as described.</t>
        </is>
      </c>
      <c r="K16" s="42" t="inlineStr">
        <is>
          <t>Nothing in the app sends notifications (no mail connector); assumed to be an existing flow.</t>
        </is>
      </c>
      <c r="L16" s="42" t="inlineStr">
        <is>
          <t>Confirm the flow covers the current statuses: Processing, Pending, Rejected, Approved.</t>
        </is>
      </c>
    </row>
    <row r="17" s="29">
      <c r="A17" s="41" t="inlineStr">
        <is>
          <t>P1-14</t>
        </is>
      </c>
      <c r="B17" s="42" t="inlineStr">
        <is>
          <t>Beluga Reference</t>
        </is>
      </c>
      <c r="C17" s="42" t="inlineStr">
        <is>
          <t>Add a Beluga reference (I-number) field per media file on ChildMetaScreen, for all production types (photo reportage, video, podcast). Visible and searchable by admins.</t>
        </is>
      </c>
      <c r="D17" s="49" t="inlineStr">
        <is>
          <t>High</t>
        </is>
      </c>
      <c r="E17" s="54" t="inlineStr">
        <is>
          <t>Done</t>
        </is>
      </c>
      <c r="F17" s="45" t="n"/>
      <c r="G17" s="46" t="n"/>
      <c r="H17" s="42" t="inlineStr">
        <is>
          <t>Unhappy Path Doc + Requirements review 23/09 (item 3)</t>
        </is>
      </c>
      <c r="I17" s="47" t="inlineStr">
        <is>
          <t>Updated</t>
        </is>
      </c>
      <c r="J17" s="48" t="inlineStr">
        <is>
          <t>v3: moved from one field per request (at Published) to one field per media file, confirmed in the review. Open point: should requestors see it once the file is published?</t>
        </is>
      </c>
      <c r="K17" s="42" t="inlineStr">
        <is>
          <t>v15/v17: Beluga reference per media file (CI_BelugaRef), admin-only, shown once the request is Approved. v14: admin Beluga search box on Request Management.</t>
        </is>
      </c>
      <c r="L17" s="42" t="inlineStr">
        <is>
          <t>It sits on the Info tab (ChildInfoScreen), not ChildMetaScreen. Open point: requestors do not see it.</t>
        </is>
      </c>
    </row>
    <row r="18" s="29">
      <c r="A18" s="41" t="inlineStr">
        <is>
          <t>P1-15</t>
        </is>
      </c>
      <c r="B18" s="42" t="inlineStr">
        <is>
          <t>Audit</t>
        </is>
      </c>
      <c r="C18" s="42" t="inlineStr">
        <is>
          <t>Activity log with a full audit trail per request (nice to have).</t>
        </is>
      </c>
      <c r="D18" s="50" t="inlineStr">
        <is>
          <t>Low</t>
        </is>
      </c>
      <c r="E18" s="51" t="inlineStr">
        <is>
          <t>Open Question</t>
        </is>
      </c>
      <c r="F18" s="45" t="n"/>
      <c r="G18" s="46" t="n"/>
      <c r="H18" s="42" t="inlineStr">
        <is>
          <t>Unhappy Path Doc, Other topics 5</t>
        </is>
      </c>
      <c r="I18" s="41" t="n"/>
      <c r="J18" s="48" t="inlineStr">
        <is>
          <t>IT: TBD. The deleted request audit trail is already in Phase 2 (P2-04).</t>
        </is>
      </c>
      <c r="K18" s="42" t="inlineStr">
        <is>
          <t>—</t>
        </is>
      </c>
      <c r="L18" s="42" t="inlineStr">
        <is>
          <t>Not built in the app.</t>
        </is>
      </c>
    </row>
    <row r="19" s="29">
      <c r="A19" s="41" t="inlineStr">
        <is>
          <t>P1-16</t>
        </is>
      </c>
      <c r="B19" s="42" t="inlineStr">
        <is>
          <t>Bug Fix</t>
        </is>
      </c>
      <c r="C19" s="42" t="inlineStr">
        <is>
          <t>Contract Case 2 label should read "Direct Service Contract".</t>
        </is>
      </c>
      <c r="D19" s="49" t="inlineStr">
        <is>
          <t>High</t>
        </is>
      </c>
      <c r="E19" s="44" t="inlineStr">
        <is>
          <t>Ready for Dev</t>
        </is>
      </c>
      <c r="F19" s="45" t="n"/>
      <c r="G19" s="46" t="n"/>
      <c r="H19" s="42" t="inlineStr">
        <is>
          <t>Unhappy Path Doc, Other topics 6</t>
        </is>
      </c>
      <c r="I19" s="41" t="n"/>
      <c r="J19" s="48" t="inlineStr">
        <is>
          <t>IT confirmed.</t>
        </is>
      </c>
      <c r="K19" s="42" t="inlineStr">
        <is>
          <t>—</t>
        </is>
      </c>
      <c r="L19" s="42" t="inlineStr">
        <is>
          <t>Not done: the Contract case list still reads "Case 2 - specific service contract" (Case 1 reads "framework / direct service contract"). Confirm the wording; one-line change in CL_Case.Items.</t>
        </is>
      </c>
    </row>
    <row r="20" s="29">
      <c r="A20" s="41" t="inlineStr">
        <is>
          <t>P1-17</t>
        </is>
      </c>
      <c r="B20" s="42" t="inlineStr">
        <is>
          <t>Rights &amp; Declarations</t>
        </is>
      </c>
      <c r="C20" s="42" t="inlineStr">
        <is>
          <t>Add a "No third-party rights" option (radio button) in Rights &amp; Declarations.</t>
        </is>
      </c>
      <c r="D20" s="43" t="inlineStr">
        <is>
          <t>Medium</t>
        </is>
      </c>
      <c r="E20" s="54" t="inlineStr">
        <is>
          <t>Done</t>
        </is>
      </c>
      <c r="F20" s="45" t="n"/>
      <c r="G20" s="46" t="n"/>
      <c r="H20" s="42" t="inlineStr">
        <is>
          <t>Unhappy Path Doc, Other topics 6</t>
        </is>
      </c>
      <c r="I20" s="41" t="n"/>
      <c r="J20" s="48" t="inlineStr">
        <is>
          <t>IT confirmed.</t>
        </is>
      </c>
      <c r="K20" s="42" t="inlineStr">
        <is>
          <t>v19/v21: "No third-party rights in this production" in Rights &amp; declarations, saved to NoThirdPartyRights.</t>
        </is>
      </c>
      <c r="L20" s="42" t="inlineStr">
        <is>
          <t>Built as a checkbox, not a radio button.</t>
        </is>
      </c>
    </row>
    <row r="21" s="29">
      <c r="A21" s="41" t="inlineStr">
        <is>
          <t>P1-18</t>
        </is>
      </c>
      <c r="B21" s="42" t="inlineStr">
        <is>
          <t>Bug</t>
        </is>
      </c>
      <c r="C21" s="42" t="inlineStr">
        <is>
          <t>Assignee field doesn't work after approval and doesn't show in the requests gallery.</t>
        </is>
      </c>
      <c r="D21" s="49" t="inlineStr">
        <is>
          <t>High</t>
        </is>
      </c>
      <c r="E21" s="54" t="inlineStr">
        <is>
          <t>Done</t>
        </is>
      </c>
      <c r="F21" s="45" t="n"/>
      <c r="G21" s="46" t="n"/>
      <c r="H21" s="42" t="inlineStr">
        <is>
          <t>Alexander, new item</t>
        </is>
      </c>
      <c r="I21" s="41" t="n"/>
      <c r="J21" s="53" t="n"/>
      <c r="K21" s="42" t="inlineStr">
        <is>
          <t>v10/v17: Assignee picker fixed; Approve writes Assignee; Assignee column and filter on Request Management. v39: Person value format fixed.</t>
        </is>
      </c>
      <c r="L21" s="42" t="inlineStr">
        <is>
          <t>Confirm in testing: approve a request, then check the Assignee column in the list.</t>
        </is>
      </c>
    </row>
    <row r="22" s="29">
      <c r="A22" s="41" t="inlineStr">
        <is>
          <t>P1-19</t>
        </is>
      </c>
      <c r="B22" s="42" t="inlineStr">
        <is>
          <t>UX Enhancement</t>
        </is>
      </c>
      <c r="C22" s="42" t="inlineStr">
        <is>
          <t>Add a button on the Review Screen to improve the review experience (scope to confirm).</t>
        </is>
      </c>
      <c r="D22" s="43" t="inlineStr">
        <is>
          <t>Medium</t>
        </is>
      </c>
      <c r="E22" s="52" t="inlineStr">
        <is>
          <t>Not Started</t>
        </is>
      </c>
      <c r="F22" s="45" t="n"/>
      <c r="G22" s="46" t="n"/>
      <c r="H22" s="42" t="inlineStr">
        <is>
          <t>Alexander, new item</t>
        </is>
      </c>
      <c r="I22" s="41" t="n"/>
      <c r="J22" s="53" t="n"/>
      <c r="K22" s="42" t="inlineStr">
        <is>
          <t>ReviewScreen gained Need info (v11), Internal Notes with a save icon per media row (v34) and a queue that reloads after each action (v41).</t>
        </is>
      </c>
      <c r="L22" s="42" t="inlineStr">
        <is>
          <t>Scope still to confirm: which button was meant.</t>
        </is>
      </c>
    </row>
    <row r="23" s="29">
      <c r="A23" s="41" t="inlineStr">
        <is>
          <t>P1-20</t>
        </is>
      </c>
      <c r="B23" s="42" t="inlineStr">
        <is>
          <t>Requestor Field Logic</t>
        </is>
      </c>
      <c r="C23" s="42" t="inlineStr">
        <is>
          <t>Requestor field: pre-select and lock the current user for Requestors. For Admins, show all requestors with "All" as default.</t>
        </is>
      </c>
      <c r="D23" s="43" t="inlineStr">
        <is>
          <t>Medium</t>
        </is>
      </c>
      <c r="E23" s="54" t="inlineStr">
        <is>
          <t>Done</t>
        </is>
      </c>
      <c r="F23" s="45" t="n"/>
      <c r="G23" s="46" t="n"/>
      <c r="H23" s="42" t="inlineStr">
        <is>
          <t>Alexander, new item</t>
        </is>
      </c>
      <c r="I23" s="41" t="n"/>
      <c r="J23" s="53" t="n"/>
      <c r="K23" s="42" t="inlineStr">
        <is>
          <t>v10: requestor filter pre-selects and locks the current user for REQUESTOR; ADMINISTRATOR gets all requestors, with "All" as default.</t>
        </is>
      </c>
      <c r="L23" s="42" t="inlineStr">
        <is>
          <t>—</t>
        </is>
      </c>
    </row>
    <row r="24" s="29">
      <c r="A24" s="41" t="inlineStr">
        <is>
          <t>P1-21</t>
        </is>
      </c>
      <c r="B24" s="42" t="inlineStr">
        <is>
          <t>UX</t>
        </is>
      </c>
      <c r="C24" s="42" t="inlineStr">
        <is>
          <t>Request Management screen opens with sections expanded by default.</t>
        </is>
      </c>
      <c r="D24" s="50" t="inlineStr">
        <is>
          <t>Low</t>
        </is>
      </c>
      <c r="E24" s="52" t="inlineStr">
        <is>
          <t>Not Started</t>
        </is>
      </c>
      <c r="F24" s="45" t="n"/>
      <c r="G24" s="46" t="n"/>
      <c r="H24" s="42" t="inlineStr">
        <is>
          <t>Alexander, new item</t>
        </is>
      </c>
      <c r="I24" s="41" t="n"/>
      <c r="J24" s="53" t="n"/>
      <c r="K24" s="42" t="inlineStr">
        <is>
          <t>—</t>
        </is>
      </c>
      <c r="L24" s="42" t="inlineStr">
        <is>
          <t>Not done: the filter sections still open collapsed (locShowFilters starts false).</t>
        </is>
      </c>
    </row>
    <row r="25" s="29">
      <c r="A25" s="41" t="inlineStr">
        <is>
          <t>P1-22</t>
        </is>
      </c>
      <c r="B25" s="42" t="inlineStr">
        <is>
          <t>UI Layout</t>
        </is>
      </c>
      <c r="C25" s="42" t="inlineStr">
        <is>
          <t>Left-align the Request Title and DG fields.</t>
        </is>
      </c>
      <c r="D25" s="50" t="inlineStr">
        <is>
          <t>Low</t>
        </is>
      </c>
      <c r="E25" s="52" t="inlineStr">
        <is>
          <t>Not Started</t>
        </is>
      </c>
      <c r="F25" s="45" t="n"/>
      <c r="G25" s="46" t="n"/>
      <c r="H25" s="42" t="inlineStr">
        <is>
          <t>Alexander, new item</t>
        </is>
      </c>
      <c r="I25" s="41" t="n"/>
      <c r="J25" s="53" t="n"/>
      <c r="K25" s="42" t="inlineStr">
        <is>
          <t>—</t>
        </is>
      </c>
      <c r="L25" s="42" t="inlineStr">
        <is>
          <t>Not changed in the app. Confirm the target layout.</t>
        </is>
      </c>
    </row>
    <row r="26" s="29">
      <c r="A26" s="41" t="inlineStr">
        <is>
          <t>P1-23</t>
        </is>
      </c>
      <c r="B26" s="42" t="inlineStr">
        <is>
          <t>UI Layout</t>
        </is>
      </c>
      <c r="C26" s="42" t="inlineStr">
        <is>
          <t>ID field at 30% width, Title field at 70%.</t>
        </is>
      </c>
      <c r="D26" s="43" t="inlineStr">
        <is>
          <t>Medium</t>
        </is>
      </c>
      <c r="E26" s="52" t="inlineStr">
        <is>
          <t>Not Started</t>
        </is>
      </c>
      <c r="F26" s="45" t="n"/>
      <c r="G26" s="46" t="n"/>
      <c r="H26" s="42" t="inlineStr">
        <is>
          <t>Alexander, new item</t>
        </is>
      </c>
      <c r="I26" s="41" t="n"/>
      <c r="J26" s="53" t="n"/>
      <c r="K26" s="42" t="inlineStr">
        <is>
          <t>Request Management: Request ID box 280 px and Title box 579 px (about 33/67), on separate rows.</t>
        </is>
      </c>
      <c r="L26" s="42" t="inlineStr">
        <is>
          <t>Confirm whether 30/70 side by side is wanted.</t>
        </is>
      </c>
    </row>
    <row r="27" s="29">
      <c r="A27" s="41" t="inlineStr">
        <is>
          <t>P1-24</t>
        </is>
      </c>
      <c r="B27" s="42" t="inlineStr">
        <is>
          <t>UI / Content</t>
        </is>
      </c>
      <c r="C27" s="42" t="inlineStr">
        <is>
          <t>New Request screen: review the screen title (scope to confirm).</t>
        </is>
      </c>
      <c r="D27" s="50" t="inlineStr">
        <is>
          <t>Low</t>
        </is>
      </c>
      <c r="E27" s="52" t="inlineStr">
        <is>
          <t>Not Started</t>
        </is>
      </c>
      <c r="F27" s="45" t="n"/>
      <c r="G27" s="46" t="n"/>
      <c r="H27" s="42" t="inlineStr">
        <is>
          <t>Alexander, new item</t>
        </is>
      </c>
      <c r="I27" s="41" t="n"/>
      <c r="J27" s="53" t="n"/>
      <c r="K27" s="42" t="inlineStr">
        <is>
          <t>The card title switches between "New request" and "Request details" by status.</t>
        </is>
      </c>
      <c r="L27" s="42" t="inlineStr">
        <is>
          <t>Scope still to confirm.</t>
        </is>
      </c>
    </row>
    <row r="28" s="29">
      <c r="A28" s="41" t="inlineStr">
        <is>
          <t>P1-25</t>
        </is>
      </c>
      <c r="B28" s="42" t="inlineStr">
        <is>
          <t>UX</t>
        </is>
      </c>
      <c r="C28" s="42" t="inlineStr">
        <is>
          <t>Add a Save button alongside Submit, visible but disabled until applicable, to guide the user.</t>
        </is>
      </c>
      <c r="D28" s="43" t="inlineStr">
        <is>
          <t>Medium</t>
        </is>
      </c>
      <c r="E28" s="54" t="inlineStr">
        <is>
          <t>Done</t>
        </is>
      </c>
      <c r="F28" s="45" t="n"/>
      <c r="G28" s="46" t="n"/>
      <c r="H28" s="42" t="inlineStr">
        <is>
          <t>Alexander, new item</t>
        </is>
      </c>
      <c r="I28" s="41" t="n"/>
      <c r="J28" s="53" t="n"/>
      <c r="K28" s="42" t="inlineStr">
        <is>
          <t>v12: Draft Save always visible next to Submit, disabled until title and DG are filled. v35: fixed what it saves.</t>
        </is>
      </c>
      <c r="L28" s="42" t="inlineStr">
        <is>
          <t>—</t>
        </is>
      </c>
    </row>
    <row r="29" s="29">
      <c r="A29" s="41" t="inlineStr">
        <is>
          <t>P1-26</t>
        </is>
      </c>
      <c r="B29" s="42" t="inlineStr">
        <is>
          <t>UI Styling</t>
        </is>
      </c>
      <c r="C29" s="42" t="inlineStr">
        <is>
          <t>Style the Add Media button to match the Submit button.</t>
        </is>
      </c>
      <c r="D29" s="50" t="inlineStr">
        <is>
          <t>Low</t>
        </is>
      </c>
      <c r="E29" s="52" t="inlineStr">
        <is>
          <t>Not Started</t>
        </is>
      </c>
      <c r="F29" s="45" t="n"/>
      <c r="G29" s="46" t="n"/>
      <c r="H29" s="42" t="inlineStr">
        <is>
          <t>Alexander, new item</t>
        </is>
      </c>
      <c r="I29" s="41" t="n"/>
      <c r="J29" s="53" t="n"/>
      <c r="K29" s="42" t="inlineStr">
        <is>
          <t>v12 restyled it, but the current app has "+ Media" orange (RGBA 180, 95, 6) while Submit is blue (RGBA 56, 96, 178).</t>
        </is>
      </c>
      <c r="L29" s="42" t="inlineStr">
        <is>
          <t>Not done in the current app: set RS_BtnDraftSave_1 colours to match Submit.</t>
        </is>
      </c>
    </row>
    <row r="30" s="29">
      <c r="A30" s="41" t="inlineStr">
        <is>
          <t>P1-27</t>
        </is>
      </c>
      <c r="B30" s="42" t="inlineStr">
        <is>
          <t>Internal Notes</t>
        </is>
      </c>
      <c r="C30" s="42" t="inlineStr">
        <is>
          <t>Two general internal notes fields per request: one for the Administrator, one for the Requestor. Send an email notification as soon as a note is added, and show "Last updated on" with the date of the latest change next to each field.</t>
        </is>
      </c>
      <c r="D30" s="43" t="inlineStr">
        <is>
          <t>Medium</t>
        </is>
      </c>
      <c r="E30" s="44" t="inlineStr">
        <is>
          <t>Ready for Dev</t>
        </is>
      </c>
      <c r="F30" s="45" t="inlineStr">
        <is>
          <t>P1-01</t>
        </is>
      </c>
      <c r="G30" s="46" t="n"/>
      <c r="H30" s="42" t="inlineStr">
        <is>
          <t>Alexander, new item + Requirements review 23/09 (items 2, 7)</t>
        </is>
      </c>
      <c r="I30" s="47" t="inlineStr">
        <is>
          <t>Updated</t>
        </is>
      </c>
      <c r="J30" s="48" t="inlineStr">
        <is>
          <t>v3: redefined from a single shared Notes field into two role based fields with email alerts and a last updated date. Open point: can the requestor read the Administrator's notes, or are they admin only?</t>
        </is>
      </c>
      <c r="K30" s="42" t="inlineStr">
        <is>
          <t>v34/v43: Administrator notes box on the request screen (RS_AdminNotes, saved to ReviewerComments). Editable by ADMINISTRATOR, read-only for REQUESTOR with a placeholder.</t>
        </is>
      </c>
      <c r="L30" s="42" t="inlineStr">
        <is>
          <t>Requestor request-level notes field. Email notification when a note is added. "Last updated on" date next to each field.</t>
        </is>
      </c>
    </row>
    <row r="31" s="29">
      <c r="A31" s="41" t="inlineStr">
        <is>
          <t>P1-28</t>
        </is>
      </c>
      <c r="B31" s="42" t="inlineStr">
        <is>
          <t>Validation / Permissions</t>
        </is>
      </c>
      <c r="C31" s="42" t="inlineStr">
        <is>
          <t>While a request is Under Review, lock it to view only for the requestor, except the notes field (P1-01), which stays editable.</t>
        </is>
      </c>
      <c r="D31" s="43" t="inlineStr">
        <is>
          <t>Medium</t>
        </is>
      </c>
      <c r="E31" s="54" t="inlineStr">
        <is>
          <t>Done</t>
        </is>
      </c>
      <c r="F31" s="45" t="inlineStr">
        <is>
          <t>P1-01</t>
        </is>
      </c>
      <c r="G31" s="46" t="n"/>
      <c r="H31" s="42" t="inlineStr">
        <is>
          <t>Unhappy Path Doc, Q3</t>
        </is>
      </c>
      <c r="I31" s="41" t="n"/>
      <c r="J31" s="48" t="inlineStr">
        <is>
          <t>From IT's green comments.</t>
        </is>
      </c>
      <c r="K31" s="42" t="inlineStr">
        <is>
          <t>v13/v23: requestor view-only while Processing on every tab; Notes stays editable. v32: the attachments form follows the same lock.</t>
        </is>
      </c>
      <c r="L31" s="42" t="inlineStr">
        <is>
          <t>—</t>
        </is>
      </c>
    </row>
    <row r="32" s="29">
      <c r="A32" s="41" t="inlineStr">
        <is>
          <t>P1-29</t>
        </is>
      </c>
      <c r="B32" s="42" t="inlineStr">
        <is>
          <t>Validation</t>
        </is>
      </c>
      <c r="C32" s="42" t="inlineStr">
        <is>
          <t>The requestor can never set the Published status. Only Central Deposit (Admin) publishes.</t>
        </is>
      </c>
      <c r="D32" s="43" t="inlineStr">
        <is>
          <t>Medium</t>
        </is>
      </c>
      <c r="E32" s="54" t="inlineStr">
        <is>
          <t>Done</t>
        </is>
      </c>
      <c r="F32" s="45" t="n"/>
      <c r="G32" s="46" t="n"/>
      <c r="H32" s="42" t="inlineStr">
        <is>
          <t>Unhappy Path Doc, Notification &amp; Awareness</t>
        </is>
      </c>
      <c r="I32" s="41" t="n"/>
      <c r="J32" s="48" t="inlineStr">
        <is>
          <t>From IT's green comments.</t>
        </is>
      </c>
      <c r="K32" s="42" t="inlineStr">
        <is>
          <t>v11: Published retired and the publish button hidden; no requestor path can set it.</t>
        </is>
      </c>
      <c r="L32" s="42" t="inlineStr">
        <is>
          <t>—</t>
        </is>
      </c>
    </row>
    <row r="33" s="29">
      <c r="A33" s="41" t="inlineStr">
        <is>
          <t>P1-30</t>
        </is>
      </c>
      <c r="B33" s="42" t="inlineStr">
        <is>
          <t>Notifications / Reporting</t>
        </is>
      </c>
      <c r="C33" s="42" t="inlineStr">
        <is>
          <t>Automated follow-up email every 5 business days summarising stuck or at risk requests.</t>
        </is>
      </c>
      <c r="D33" s="43" t="inlineStr">
        <is>
          <t>Medium</t>
        </is>
      </c>
      <c r="E33" s="44" t="inlineStr">
        <is>
          <t>Ready for Dev</t>
        </is>
      </c>
      <c r="F33" s="45" t="n"/>
      <c r="G33" s="46" t="n"/>
      <c r="H33" s="42" t="inlineStr">
        <is>
          <t>Unhappy Path Doc, SLA</t>
        </is>
      </c>
      <c r="I33" s="41" t="n"/>
      <c r="J33" s="48" t="inlineStr">
        <is>
          <t>From IT's green comments.</t>
        </is>
      </c>
      <c r="K33" s="42" t="inlineStr">
        <is>
          <t>—</t>
        </is>
      </c>
      <c r="L33" s="42" t="inlineStr">
        <is>
          <t>Not built in the app. Needs a scheduled flow.</t>
        </is>
      </c>
    </row>
    <row r="34" s="29">
      <c r="A34" s="41" t="inlineStr">
        <is>
          <t>P1-31</t>
        </is>
      </c>
      <c r="B34" s="42" t="inlineStr">
        <is>
          <t>Internal Notes</t>
        </is>
      </c>
      <c r="C34" s="42" t="inlineStr">
        <is>
          <t>Decide whether each media file needs its own internal notes field for the requestor. If yes, add it to ChildMetaScreen for all production types.</t>
        </is>
      </c>
      <c r="D34" s="50" t="inlineStr">
        <is>
          <t>Low</t>
        </is>
      </c>
      <c r="E34" s="51" t="inlineStr">
        <is>
          <t>Open Question</t>
        </is>
      </c>
      <c r="F34" s="45" t="inlineStr">
        <is>
          <t>P1-27</t>
        </is>
      </c>
      <c r="G34" s="46" t="n"/>
      <c r="H34" s="42" t="inlineStr">
        <is>
          <t>Requirements review 23/09 (item 1)</t>
        </is>
      </c>
      <c r="I34" s="55" t="inlineStr">
        <is>
          <t>New</t>
        </is>
      </c>
      <c r="J34" s="48" t="inlineStr">
        <is>
          <t>Asked as an open question. The request level notes in P1-27 may be enough; a field on every media item adds clutter.</t>
        </is>
      </c>
      <c r="K34" s="42" t="inlineStr">
        <is>
          <t>Per-media-file Notes exist (Info tab) and are editable on ReviewScreen as "Internal Notes" (v34).</t>
        </is>
      </c>
      <c r="L34" s="42" t="inlineStr">
        <is>
          <t>Decision still open. Internal Notes and the requestor's Notes are the same column, so they are not private.</t>
        </is>
      </c>
    </row>
    <row r="35" s="29">
      <c r="A35" s="41" t="inlineStr">
        <is>
          <t>P1-32</t>
        </is>
      </c>
      <c r="B35" s="42" t="inlineStr">
        <is>
          <t>Review / Publication</t>
        </is>
      </c>
      <c r="C35" s="42" t="inlineStr">
        <is>
          <t>RequestDetailScreen gallery: once a request is approved, flag each media file still missing its Beluga reference. Add a Published checkbox on each row and a button to apply it to all rows at once or one by one.</t>
        </is>
      </c>
      <c r="D35" s="43" t="inlineStr">
        <is>
          <t>Medium</t>
        </is>
      </c>
      <c r="E35" s="52" t="inlineStr">
        <is>
          <t>Not Started</t>
        </is>
      </c>
      <c r="F35" s="45" t="inlineStr">
        <is>
          <t>P1-14, P1-06</t>
        </is>
      </c>
      <c r="G35" s="46" t="n"/>
      <c r="H35" s="42" t="inlineStr">
        <is>
          <t>Requirements review 23/09 (item 4)</t>
        </is>
      </c>
      <c r="I35" s="55" t="inlineStr">
        <is>
          <t>New</t>
        </is>
      </c>
      <c r="J35" s="48" t="inlineStr">
        <is>
          <t>Confirm which screen "RequestDetailScreen" refers to (RequestScreen or ReviewScreen in the current app). The Published checkbox can also feed partial approval in P1-35.</t>
        </is>
      </c>
      <c r="K35" s="42" t="inlineStr">
        <is>
          <t>—</t>
        </is>
      </c>
      <c r="L35" s="42" t="inlineStr">
        <is>
          <t>Not built in the app.</t>
        </is>
      </c>
    </row>
    <row r="36" s="29">
      <c r="A36" s="41" t="inlineStr">
        <is>
          <t>P1-33</t>
        </is>
      </c>
      <c r="B36" s="42" t="inlineStr">
        <is>
          <t>Podcast</t>
        </is>
      </c>
      <c r="C36" s="42" t="inlineStr">
        <is>
          <t>Podcast type: allow publication on Spotify as well as Beluga (publication channel field). Add attachments for the podcast photo, each episode photo and the audio file. Show a link to the required photo dimensions next to the upload.</t>
        </is>
      </c>
      <c r="D36" s="49" t="inlineStr">
        <is>
          <t>High</t>
        </is>
      </c>
      <c r="E36" s="52" t="inlineStr">
        <is>
          <t>Not Started</t>
        </is>
      </c>
      <c r="F36" s="45" t="n"/>
      <c r="G36" s="46" t="n"/>
      <c r="H36" s="42" t="inlineStr">
        <is>
          <t>Requirements review 23/09 (item 5)</t>
        </is>
      </c>
      <c r="I36" s="55" t="inlineStr">
        <is>
          <t>New</t>
        </is>
      </c>
      <c r="J36" s="48" t="inlineStr">
        <is>
          <t>The dimension rules themselves are now shown as labels (P1-37); the link can point to the fuller guidance. Confirm its URL and owner. Automatic dimension checking is in Phase 2 (P2-06).</t>
        </is>
      </c>
      <c r="K36" s="42" t="inlineStr">
        <is>
          <t>Podcast visual and episode visual upload boxes exist, with helper labels (P1-37).</t>
        </is>
      </c>
      <c r="L36" s="42" t="inlineStr">
        <is>
          <t>Spotify / publication channel field, audio file upload and the guidance link. The two uploads still save with Patch, which does not work for SharePoint attachments: move them to a form like CL_FormAttach.</t>
        </is>
      </c>
    </row>
    <row r="37" s="29">
      <c r="A37" s="41" t="inlineStr">
        <is>
          <t>P1-34</t>
        </is>
      </c>
      <c r="B37" s="42" t="inlineStr">
        <is>
          <t>Podcast / Data Model</t>
        </is>
      </c>
      <c r="C37" s="42" t="inlineStr">
        <is>
          <t>Episodes in more than one language: decide how to capture them (one episode with several language versions, or one record per language) and which files each language needs.</t>
        </is>
      </c>
      <c r="D37" s="43" t="inlineStr">
        <is>
          <t>Medium</t>
        </is>
      </c>
      <c r="E37" s="51" t="inlineStr">
        <is>
          <t>Open Question</t>
        </is>
      </c>
      <c r="F37" s="45" t="inlineStr">
        <is>
          <t>P1-33</t>
        </is>
      </c>
      <c r="G37" s="46" t="n"/>
      <c r="H37" s="42" t="inlineStr">
        <is>
          <t>Requirements review 23/09 (item 6)</t>
        </is>
      </c>
      <c r="I37" s="55" t="inlineStr">
        <is>
          <t>New</t>
        </is>
      </c>
      <c r="J37" s="48" t="inlineStr">
        <is>
          <t>Worth settling in Phase 1 because it changes the episode metadata structure (spec 5.2). Changing it later means migrating existing episode records.</t>
        </is>
      </c>
      <c r="K37" s="42" t="inlineStr">
        <is>
          <t>—</t>
        </is>
      </c>
      <c r="L37" s="42" t="inlineStr">
        <is>
          <t>Decision still open.</t>
        </is>
      </c>
    </row>
    <row r="38" s="29">
      <c r="A38" s="41" t="inlineStr">
        <is>
          <t>P1-35</t>
        </is>
      </c>
      <c r="B38" s="42" t="inlineStr">
        <is>
          <t>Approval Workflow</t>
        </is>
      </c>
      <c r="C38" s="42" t="inlineStr">
        <is>
          <t>Overall approval field on the request with a Partially approved option. The admin flags which media files will not be approved or published. On partial approval, send a notification listing which files were published.</t>
        </is>
      </c>
      <c r="D38" s="49" t="inlineStr">
        <is>
          <t>High</t>
        </is>
      </c>
      <c r="E38" s="52" t="inlineStr">
        <is>
          <t>Not Started</t>
        </is>
      </c>
      <c r="F38" s="45" t="inlineStr">
        <is>
          <t>P1-06, P1-32</t>
        </is>
      </c>
      <c r="G38" s="46" t="n"/>
      <c r="H38" s="42" t="inlineStr">
        <is>
          <t>Requirements review 23/09 (item 8)</t>
        </is>
      </c>
      <c r="I38" s="55" t="inlineStr">
        <is>
          <t>New</t>
        </is>
      </c>
      <c r="J38" s="48" t="inlineStr">
        <is>
          <t>Suggestion: derive it from the Published checkboxes in P1-32 (all ticked = Published, some ticked = Partially approved) so the admin doesn't set it twice.</t>
        </is>
      </c>
      <c r="K38" s="42" t="inlineStr">
        <is>
          <t>—</t>
        </is>
      </c>
      <c r="L38" s="42" t="inlineStr">
        <is>
          <t>Not built in the app.</t>
        </is>
      </c>
    </row>
    <row r="39" s="29">
      <c r="A39" s="41" t="inlineStr">
        <is>
          <t>P1-36</t>
        </is>
      </c>
      <c r="B39" s="42" t="inlineStr">
        <is>
          <t>Attachments</t>
        </is>
      </c>
      <c r="C39" s="42" t="inlineStr">
        <is>
          <t>Proposal: one general attachment area per request, instead of relying only on per media file attachments, for files that repeat across media files.</t>
        </is>
      </c>
      <c r="D39" s="43" t="inlineStr">
        <is>
          <t>Medium</t>
        </is>
      </c>
      <c r="E39" s="51" t="inlineStr">
        <is>
          <t>Open Question</t>
        </is>
      </c>
      <c r="F39" s="45" t="n"/>
      <c r="G39" s="46" t="n"/>
      <c r="H39" s="42" t="inlineStr">
        <is>
          <t>Requirements review 23/09 (item 9)</t>
        </is>
      </c>
      <c r="I39" s="55" t="inlineStr">
        <is>
          <t>New</t>
        </is>
      </c>
      <c r="J39" s="48" t="inlineStr">
        <is>
          <t>Raised for team agreement. Saves uploading the same file several times. Check how it fits with the contract checklist documents, which already sit at request level.</t>
        </is>
      </c>
      <c r="K39" s="42" t="inlineStr">
        <is>
          <t>v32: attachments per media file through CL_FormAttach (Legal tab).</t>
        </is>
      </c>
      <c r="L39" s="42" t="inlineStr">
        <is>
          <t>Request-level attachment area not built; decision still open.</t>
        </is>
      </c>
    </row>
    <row r="40" s="29">
      <c r="A40" s="41" t="inlineStr">
        <is>
          <t>P1-37</t>
        </is>
      </c>
      <c r="B40" s="42" t="inlineStr">
        <is>
          <t>Podcast / UX</t>
        </is>
      </c>
      <c r="C40" s="42" t="inlineStr">
        <is>
          <t>Add helper labels next to the podcast image uploads so users see the requirements before uploading. Podcast visual (with text): square format, minimum 1400 x 1400 px and maximum 3000 x 3000 px, JPEG or PNG, RGB colour space. Episode visual: horizontal format, 1280 x 720 px, JPEG or PNG.</t>
        </is>
      </c>
      <c r="D40" s="49" t="inlineStr">
        <is>
          <t>High</t>
        </is>
      </c>
      <c r="E40" s="54" t="inlineStr">
        <is>
          <t>Done</t>
        </is>
      </c>
      <c r="F40" s="45" t="inlineStr">
        <is>
          <t>P1-33</t>
        </is>
      </c>
      <c r="G40" s="46" t="n"/>
      <c r="H40" s="42" t="inlineStr">
        <is>
          <t>Alexander, new item</t>
        </is>
      </c>
      <c r="I40" s="55" t="inlineStr">
        <is>
          <t>New</t>
        </is>
      </c>
      <c r="J40" s="48" t="inlineStr">
        <is>
          <t>Specs provided directly, so no decision needed. Same rules will drive the automatic check in P2-06, so keep them in one place (e.g. a config list) rather than hardcoded twice.</t>
        </is>
      </c>
      <c r="K40" s="42" t="inlineStr">
        <is>
          <t>Helper labels CI_HintPodcastVisual (square, 1400-3000 px, JPEG/PNG, RGB) and CM_HintEpisodeVisual (1280x720, JPEG/PNG).</t>
        </is>
      </c>
      <c r="L40" s="42" t="inlineStr">
        <is>
          <t>The rules are hardcoded in the two labels, not in one config list.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20" customWidth="1" style="28" min="2" max="2"/>
    <col width="54" customWidth="1" style="28" min="3" max="3"/>
    <col width="10" customWidth="1" style="28" min="4" max="4"/>
    <col width="16" customWidth="1" style="28" min="5" max="5"/>
    <col width="12" customWidth="1" style="28" min="6" max="6"/>
    <col width="14" customWidth="1" style="28" min="7" max="7"/>
    <col width="28" customWidth="1" style="28" min="8" max="8"/>
    <col width="14" customWidth="1" style="28" min="9" max="9"/>
    <col width="52" customWidth="1" style="28" min="10" max="10"/>
    <col width="46" customWidth="1" style="29" min="11" max="11"/>
    <col width="46" customWidth="1" style="29" min="12" max="12"/>
  </cols>
  <sheetData>
    <row r="1" ht="21.75" customHeight="1" s="29">
      <c r="A1" s="30" t="inlineStr">
        <is>
          <t>Central Deposit: Task Matrix, Phase 2 (v3)</t>
        </is>
      </c>
    </row>
    <row r="2" ht="30" customHeight="1" s="29">
      <c r="A2" s="39" t="inlineStr">
        <is>
          <t>Reporting / Power BI, archiving, audit and recovery, and automated photo dimension checks. Fill in the yellow Deliverable Date cells. Columns K and L (23/09): what the app delivers today (version) and what is still missing.</t>
        </is>
      </c>
    </row>
    <row r="4" ht="27.75" customHeight="1" s="29">
      <c r="A4" s="40" t="inlineStr">
        <is>
          <t>ID</t>
        </is>
      </c>
      <c r="B4" s="40" t="inlineStr">
        <is>
          <t>Category</t>
        </is>
      </c>
      <c r="C4" s="40" t="inlineStr">
        <is>
          <t>Task / Requirement</t>
        </is>
      </c>
      <c r="D4" s="40" t="inlineStr">
        <is>
          <t>Priority</t>
        </is>
      </c>
      <c r="E4" s="40" t="inlineStr">
        <is>
          <t>Status</t>
        </is>
      </c>
      <c r="F4" s="40" t="inlineStr">
        <is>
          <t>Depends On</t>
        </is>
      </c>
      <c r="G4" s="40" t="inlineStr">
        <is>
          <t>Deliverable Date</t>
        </is>
      </c>
      <c r="H4" s="40" t="inlineStr">
        <is>
          <t>Source</t>
        </is>
      </c>
      <c r="I4" s="40" t="inlineStr">
        <is>
          <t>Change in v3</t>
        </is>
      </c>
      <c r="J4" s="40" t="inlineStr">
        <is>
          <t>Notes</t>
        </is>
      </c>
      <c r="K4" s="40" t="inlineStr">
        <is>
          <t>Built in app (version)</t>
        </is>
      </c>
      <c r="L4" s="40" t="inlineStr">
        <is>
          <t>What is missing</t>
        </is>
      </c>
    </row>
    <row r="5" s="29">
      <c r="A5" s="41" t="inlineStr">
        <is>
          <t>P2-01</t>
        </is>
      </c>
      <c r="B5" s="42" t="inlineStr">
        <is>
          <t>Archiving</t>
        </is>
      </c>
      <c r="C5" s="42" t="inlineStr">
        <is>
          <t>Archive requests 3 years and older, accounting for the SharePoint 5,000 item list view threshold.</t>
        </is>
      </c>
      <c r="D5" s="49" t="inlineStr">
        <is>
          <t>High</t>
        </is>
      </c>
      <c r="E5" s="44" t="inlineStr">
        <is>
          <t>Ready for Dev</t>
        </is>
      </c>
      <c r="F5" s="45" t="n"/>
      <c r="G5" s="46" t="n"/>
      <c r="H5" s="42" t="inlineStr">
        <is>
          <t>Unhappy Path Doc, Q1</t>
        </is>
      </c>
      <c r="I5" s="41" t="n"/>
      <c r="J5" s="48" t="inlineStr">
        <is>
          <t>Stakeholders said 2 years, IT's later comments say 3. Using 3; confirm with IT.</t>
        </is>
      </c>
      <c r="K5" s="42" t="inlineStr">
        <is>
          <t>—</t>
        </is>
      </c>
      <c r="L5" s="42" t="inlineStr">
        <is>
          <t>Not built in the app.</t>
        </is>
      </c>
    </row>
    <row r="6" s="29">
      <c r="A6" s="41" t="inlineStr">
        <is>
          <t>P2-02</t>
        </is>
      </c>
      <c r="B6" s="42" t="inlineStr">
        <is>
          <t>Archiving</t>
        </is>
      </c>
      <c r="C6" s="42" t="inlineStr">
        <is>
          <t>General archiving policy for older requests on the platform.</t>
        </is>
      </c>
      <c r="D6" s="43" t="inlineStr">
        <is>
          <t>Medium</t>
        </is>
      </c>
      <c r="E6" s="44" t="inlineStr">
        <is>
          <t>Ready for Dev</t>
        </is>
      </c>
      <c r="F6" s="45" t="n"/>
      <c r="G6" s="46" t="n"/>
      <c r="H6" s="42" t="inlineStr">
        <is>
          <t>Unhappy Path Doc, Other topics 4</t>
        </is>
      </c>
      <c r="I6" s="41" t="n"/>
      <c r="J6" s="48" t="inlineStr">
        <is>
          <t>Overlaps with P2-01, may be the same piece of work.</t>
        </is>
      </c>
      <c r="K6" s="42" t="inlineStr">
        <is>
          <t>—</t>
        </is>
      </c>
      <c r="L6" s="42" t="inlineStr">
        <is>
          <t>Not built in the app.</t>
        </is>
      </c>
    </row>
    <row r="7" s="29">
      <c r="A7" s="41" t="inlineStr">
        <is>
          <t>P2-03</t>
        </is>
      </c>
      <c r="B7" s="42" t="inlineStr">
        <is>
          <t>Reporting</t>
        </is>
      </c>
      <c r="C7" s="42" t="inlineStr">
        <is>
          <t>Scope and build the Reporting / Power BI integration.</t>
        </is>
      </c>
      <c r="D7" s="43" t="inlineStr">
        <is>
          <t>Medium</t>
        </is>
      </c>
      <c r="E7" s="51" t="inlineStr">
        <is>
          <t>Not Scoped</t>
        </is>
      </c>
      <c r="F7" s="45" t="n"/>
      <c r="G7" s="46" t="n"/>
      <c r="H7" s="42" t="inlineStr">
        <is>
          <t>Phase split</t>
        </is>
      </c>
      <c r="I7" s="41" t="n"/>
      <c r="J7" s="53" t="n"/>
      <c r="K7" s="42" t="inlineStr">
        <is>
          <t>—</t>
        </is>
      </c>
      <c r="L7" s="42" t="inlineStr">
        <is>
          <t>Not scoped or built.</t>
        </is>
      </c>
    </row>
    <row r="8" s="29">
      <c r="A8" s="41" t="inlineStr">
        <is>
          <t>P2-04</t>
        </is>
      </c>
      <c r="B8" s="42" t="inlineStr">
        <is>
          <t>Audit &amp; Recovery</t>
        </is>
      </c>
      <c r="C8" s="42" t="inlineStr">
        <is>
          <t>Audit trail for deleted requests with soft delete, so they can be recovered, including Published requests.</t>
        </is>
      </c>
      <c r="D8" s="49" t="inlineStr">
        <is>
          <t>High</t>
        </is>
      </c>
      <c r="E8" s="44" t="inlineStr">
        <is>
          <t>Confirmed Phase 2</t>
        </is>
      </c>
      <c r="F8" s="45" t="n"/>
      <c r="G8" s="46" t="n"/>
      <c r="H8" s="42" t="inlineStr">
        <is>
          <t>Unhappy Path Doc, Q6</t>
        </is>
      </c>
      <c r="I8" s="41" t="n"/>
      <c r="J8" s="48" t="inlineStr">
        <is>
          <t>Moved from Phase 1 per IT. A red note called recovery "not the priority now"; check how firm that is.</t>
        </is>
      </c>
      <c r="K8" s="42" t="inlineStr">
        <is>
          <t>—</t>
        </is>
      </c>
      <c r="L8" s="42" t="inlineStr">
        <is>
          <t>Not built in the app.</t>
        </is>
      </c>
    </row>
    <row r="9" s="29">
      <c r="A9" s="41" t="inlineStr">
        <is>
          <t>P2-05</t>
        </is>
      </c>
      <c r="B9" s="42" t="inlineStr">
        <is>
          <t>Archiving</t>
        </is>
      </c>
      <c r="C9" s="42" t="inlineStr">
        <is>
          <t>Auto-archive rejected requests after 30 days, giving the requestor time to respond.</t>
        </is>
      </c>
      <c r="D9" s="43" t="inlineStr">
        <is>
          <t>Medium</t>
        </is>
      </c>
      <c r="E9" s="44" t="inlineStr">
        <is>
          <t>Ready for Dev</t>
        </is>
      </c>
      <c r="F9" s="45" t="n"/>
      <c r="G9" s="46" t="n"/>
      <c r="H9" s="42" t="inlineStr">
        <is>
          <t>Unhappy Path Doc, Q5</t>
        </is>
      </c>
      <c r="I9" s="41" t="n"/>
      <c r="J9" s="48" t="inlineStr">
        <is>
          <t>From IT's green comments.</t>
        </is>
      </c>
      <c r="K9" s="42" t="inlineStr">
        <is>
          <t>The Rejected status is written by the Reject button (v44).</t>
        </is>
      </c>
      <c r="L9" s="42" t="inlineStr">
        <is>
          <t>Not built in the app. Needs a scheduled flow.</t>
        </is>
      </c>
    </row>
    <row r="10" s="29">
      <c r="A10" s="41" t="inlineStr">
        <is>
          <t>P2-06</t>
        </is>
      </c>
      <c r="B10" s="42" t="inlineStr">
        <is>
          <t>Podcast / Validation</t>
        </is>
      </c>
      <c r="C10" s="42" t="inlineStr">
        <is>
          <t>Automatically check that uploaded podcast and episode photos meet the required dimensions, format and colour space (rules in P1-37), and warn or block when they don't.</t>
        </is>
      </c>
      <c r="D10" s="43" t="inlineStr">
        <is>
          <t>Medium</t>
        </is>
      </c>
      <c r="E10" s="52" t="inlineStr">
        <is>
          <t>Not Started</t>
        </is>
      </c>
      <c r="F10" s="45" t="inlineStr">
        <is>
          <t>P1-33, P1-37</t>
        </is>
      </c>
      <c r="G10" s="46" t="n"/>
      <c r="H10" s="42" t="inlineStr">
        <is>
          <t>Requirements review 23/09 (item 5)</t>
        </is>
      </c>
      <c r="I10" s="55" t="inlineStr">
        <is>
          <t>New</t>
        </is>
      </c>
      <c r="J10" s="48" t="inlineStr">
        <is>
          <t>Explicitly scheduled for Phase 2 in the review.</t>
        </is>
      </c>
      <c r="K10" s="42" t="inlineStr">
        <is>
          <t>—</t>
        </is>
      </c>
      <c r="L10" s="42" t="inlineStr">
        <is>
          <t>Not built in the app.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2026-09-23T12:07:34Z</dcterms:created>
  <dcterms:modified xsi:type="dcterms:W3CDTF">2026-09-23T12:49:15Z</dcterms:modified>
  <cp:revision>0</cp:revision>
</cp:coreProperties>
</file>